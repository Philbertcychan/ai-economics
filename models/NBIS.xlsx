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Drivers" sheetId="3" state="visible" r:id="rId3"/>
    <sheet name="Outputs" sheetId="4" state="visible" r:id="rId4"/>
    <sheet name="Disclosed" sheetId="5" state="visible" r:id="rId5"/>
    <sheet name="Reported" sheetId="6" state="visible" r:id="rId6"/>
    <sheet name="Sensitivities" sheetId="7" state="visible" r:id="rId7"/>
  </sheets>
  <definedNames>
    <definedName name="in_active_power_mw_2026q2">Inputs!$B$2</definedName>
    <definedName name="in_mw_added_per_quarter">Inputs!$B$3</definedName>
    <definedName name="in_arr_per_new_mw_year_usd_m">Inputs!$B$4</definedName>
    <definedName name="in_revenue_to_midpoint_arr">Inputs!$B$5</definedName>
    <definedName name="in_ai_cloud_share_of_revenue">Inputs!$B$6</definedName>
    <definedName name="in_adjusted_ebitda_margin">Inputs!$B$7</definedName>
    <definedName name="in_capex_per_mw_usd_m">Inputs!$B$8</definedName>
    <definedName name="in_prepayment_share_of_capex">Inputs!$B$9</definedName>
    <definedName name="in_prepaid_revenue_recognised_share_per_quarter">Inputs!$B$10</definedName>
    <definedName name="in_other_operating_cash_share_of_capex">Inputs!$B$11</definedName>
    <definedName name="in_cost_of_debt">Inputs!$B$12</definedName>
    <definedName name="in_debt_share_of_capex">Inputs!$B$13</definedName>
    <definedName name="in_minimum_cash_usd_bn">Inputs!$B$14</definedName>
    <definedName name="in_disclosed_payback_months">Inputs!$B$15</definedName>
    <definedName name="in_arr_guidance_ye2026_low_usd_m">Inputs!$B$16</definedName>
    <definedName name="in_arr_guidance_ye2026_high_usd_m">Inputs!$B$17</definedName>
    <definedName name="in_revenue_guidance_2026_low_usd_m">Inputs!$B$18</definedName>
    <definedName name="in_revenue_guidance_2026_high_usd_m">Inputs!$B$19</definedName>
    <definedName name="in_mw_added_2026q3">Inputs!$B$20</definedName>
    <definedName name="in_mw_added_2026q4">Inputs!$B$21</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0.0);&quot;-&quot;"/>
  </numFmts>
  <fonts count="9">
    <font>
      <name val="Calibri"/>
      <family val="2"/>
      <color theme="1"/>
      <sz val="11"/>
      <scheme val="minor"/>
    </font>
    <font>
      <b val="1"/>
    </font>
    <font>
      <color rgb="000000FF"/>
    </font>
    <font>
      <color rgb="00595959"/>
    </font>
    <font>
      <color rgb="00000000"/>
    </font>
    <font>
      <color rgb="00008000"/>
    </font>
    <font>
      <b val="1"/>
      <sz val="14"/>
    </font>
    <font>
      <i val="1"/>
    </font>
    <font>
      <i val="1"/>
      <color rgb="00666666"/>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21">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4" fillId="0" borderId="0" pivotButton="0" quotePrefix="0" xfId="0"/>
    <xf numFmtId="0" fontId="5" fillId="0" borderId="0" pivotButton="0" quotePrefix="0" xfId="0"/>
    <xf numFmtId="0" fontId="3" fillId="0" borderId="0" pivotButton="0" quotePrefix="0" xfId="0"/>
    <xf numFmtId="0" fontId="8" fillId="0" borderId="0" pivotButton="0" quotePrefix="0" xfId="0"/>
    <xf numFmtId="0" fontId="1" fillId="2" borderId="0" pivotButton="0" quotePrefix="0" xfId="0"/>
    <xf numFmtId="164" fontId="2" fillId="0" borderId="0" pivotButton="0" quotePrefix="0" xfId="0"/>
    <xf numFmtId="0" fontId="1" fillId="2" borderId="0" applyAlignment="1" pivotButton="0" quotePrefix="0" xfId="0">
      <alignment horizontal="right"/>
    </xf>
    <xf numFmtId="165" fontId="3" fillId="0" borderId="0" pivotButton="0" quotePrefix="0" xfId="0"/>
    <xf numFmtId="165" fontId="4" fillId="0" borderId="0" pivotButton="0" quotePrefix="0" xfId="0"/>
    <xf numFmtId="166" fontId="3" fillId="0" borderId="0" pivotButton="0" quotePrefix="0" xfId="0"/>
    <xf numFmtId="166" fontId="5" fillId="0" borderId="0" pivotButton="0" quotePrefix="0" xfId="0"/>
    <xf numFmtId="166" fontId="4" fillId="0" borderId="0" pivotButton="0" quotePrefix="0" xfId="0"/>
    <xf numFmtId="164" fontId="3" fillId="0" borderId="0" pivotButton="0" quotePrefix="0" xfId="0"/>
    <xf numFmtId="164" fontId="5" fillId="0" borderId="0" pivotButton="0" quotePrefix="0" xfId="0"/>
    <xf numFmtId="165"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6" customWidth="1" min="1" max="1"/>
    <col width="100" customWidth="1" min="2" max="2"/>
  </cols>
  <sheetData>
    <row r="1">
      <c r="A1" s="1" t="inlineStr">
        <is>
          <t>Nebius Group N.V. (NBIS) operating model</t>
        </is>
      </c>
    </row>
    <row r="2">
      <c r="A2" s="2" t="inlineStr">
        <is>
          <t>Reported figures come from SEC EDGAR XBRL company facts; every assumption is on the Inputs sheet.</t>
        </is>
      </c>
    </row>
    <row r="4">
      <c r="A4" s="3" t="inlineStr">
        <is>
          <t>as_of</t>
        </is>
      </c>
      <c r="B4" t="inlineStr">
        <is>
          <t>2026-09-08</t>
        </is>
      </c>
    </row>
    <row r="5">
      <c r="A5" s="3" t="inlineStr">
        <is>
          <t>cik</t>
        </is>
      </c>
      <c r="B5" t="inlineStr">
        <is>
          <t>0001513845</t>
        </is>
      </c>
    </row>
    <row r="6">
      <c r="A6" s="3" t="inlineStr">
        <is>
          <t>layer</t>
        </is>
      </c>
      <c r="B6" t="inlineStr">
        <is>
          <t>neocloud</t>
        </is>
      </c>
    </row>
    <row r="8">
      <c r="A8" s="3" t="inlineStr">
        <is>
          <t>How to read this workbook</t>
        </is>
      </c>
    </row>
    <row r="9" ht="75" customHeight="1">
      <c r="A9" s="4" t="inlineStr">
        <is>
          <t>This workbook is a snapshot of a Python model. The Inputs sheet holds every assumption the model takes as given (blue numbers): change one there and the formulas on the other sheets follow when Excel recalculates. Drivers are the operating quantities that build up by period; Outputs are what the model concludes from them. Each line shows its unit in column B; period columns ending in A are reported actuals, E are estimates. Click any formula cell to trace it back to the driver or input it depends on.</t>
        </is>
      </c>
    </row>
    <row r="11">
      <c r="A11" s="3" t="inlineStr">
        <is>
          <t>Colour legend</t>
        </is>
      </c>
    </row>
    <row r="12">
      <c r="A12" s="5" t="inlineStr">
        <is>
          <t>1,234.5</t>
        </is>
      </c>
      <c r="B12" t="inlineStr">
        <is>
          <t>Blue: a hard-coded input or assumption. Edit these on the Inputs sheet.</t>
        </is>
      </c>
    </row>
    <row r="13">
      <c r="A13" s="6" t="inlineStr">
        <is>
          <t>=C5*C6</t>
        </is>
      </c>
      <c r="B13" t="inlineStr">
        <is>
          <t>Black: a formula calculated from cells on the same sheet.</t>
        </is>
      </c>
    </row>
    <row r="14">
      <c r="A14" s="7" t="inlineStr">
        <is>
          <t>=Drivers!C5</t>
        </is>
      </c>
      <c r="B14" t="inlineStr">
        <is>
          <t>Green: a formula that links to another sheet (Inputs, Drivers or Outputs).</t>
        </is>
      </c>
    </row>
    <row r="15">
      <c r="A15" s="8" t="inlineStr">
        <is>
          <t>1,234.5</t>
        </is>
      </c>
      <c r="B15" t="inlineStr">
        <is>
          <t>Grey: a value computed in Python and pasted (see the company module under companies/). It does not recalculate in Excel.</t>
        </is>
      </c>
    </row>
    <row r="17">
      <c r="A17" s="3" t="inlineStr">
        <is>
          <t>Sheets</t>
        </is>
      </c>
    </row>
    <row r="18">
      <c r="A18" s="3" t="inlineStr">
        <is>
          <t>Inputs</t>
        </is>
      </c>
      <c r="B18" t="inlineStr">
        <is>
          <t>One row per assumption: name, value, unit, source and note. Each value cell has the defined name in_&lt;name&gt; so formulas can refer to it by name.</t>
        </is>
      </c>
    </row>
    <row r="19">
      <c r="A19" s="3" t="inlineStr">
        <is>
          <t>Drivers</t>
        </is>
      </c>
      <c r="B19" t="inlineStr">
        <is>
          <t>Operating drivers by period (label, unit, then one column per period).</t>
        </is>
      </c>
    </row>
    <row r="20">
      <c r="A20" s="3" t="inlineStr">
        <is>
          <t>Outputs</t>
        </is>
      </c>
      <c r="B20" t="inlineStr">
        <is>
          <t>Model outputs by period, built from Drivers and Inputs.</t>
        </is>
      </c>
    </row>
    <row r="21">
      <c r="A21" s="3" t="inlineStr">
        <is>
          <t>Disclosed</t>
        </is>
      </c>
      <c r="B21" t="inlineStr">
        <is>
          <t>Plain values exported from the model's 'disclosed' table.</t>
        </is>
      </c>
    </row>
    <row r="22">
      <c r="A22" s="3" t="inlineStr">
        <is>
          <t>Reported</t>
        </is>
      </c>
      <c r="B22" t="inlineStr">
        <is>
          <t>Reported facts pulled from SEC XBRL company facts, one row per fact.</t>
        </is>
      </c>
    </row>
    <row r="23">
      <c r="A23" s="3" t="inlineStr">
        <is>
          <t>Sensitivities</t>
        </is>
      </c>
      <c r="B23" t="inlineStr">
        <is>
          <t>Plain values exported from the model's 'sensitivities' table.</t>
        </is>
      </c>
    </row>
    <row r="25">
      <c r="A25" s="9" t="inlineStr">
        <is>
          <t>Generated by ai-economics (https://github.com/Philbertcychan/ai-economics) via scripts/export_xlsx.py. Formulas recalculate when the file is opened in Excel.</t>
        </is>
      </c>
    </row>
  </sheetData>
  <mergeCells count="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2" customWidth="1" min="3" max="3"/>
    <col width="40" customWidth="1" min="4" max="4"/>
    <col width="60" customWidth="1" min="5" max="5"/>
  </cols>
  <sheetData>
    <row r="1">
      <c r="A1" s="10" t="inlineStr">
        <is>
          <t>Name</t>
        </is>
      </c>
      <c r="B1" s="10" t="inlineStr">
        <is>
          <t>Value</t>
        </is>
      </c>
      <c r="C1" s="10" t="inlineStr">
        <is>
          <t>Unit</t>
        </is>
      </c>
      <c r="D1" s="10" t="inlineStr">
        <is>
          <t>Source</t>
        </is>
      </c>
      <c r="E1" s="10" t="inlineStr">
        <is>
          <t>Note</t>
        </is>
      </c>
    </row>
    <row r="2">
      <c r="A2" t="inlineStr">
        <is>
          <t>active_power_mw_2026q2</t>
        </is>
      </c>
      <c r="B2" s="5" t="n">
        <v>300</v>
      </c>
      <c r="C2" t="inlineStr">
        <is>
          <t>MW</t>
        </is>
      </c>
      <c r="D2" t="inlineStr">
        <is>
          <t>6-K EX-99.2 2026-02-12 (~170 MW active at Dec 31 2025; ARR 1.25 USD bn); 6-K EX-99.2 2026-08-12 (ARR 3.0 USD bn; 2026 base ACV 12 USD m per MW)</t>
        </is>
      </c>
      <c r="E2" t="inlineStr">
        <is>
          <t>[derived; proposed; range 250 to 400] Active power at June 30 2026 is not disclosed, so it is inferred from ARR. The fleet earned 7.4 USD m of ARR per active MW at Dec 31 2025 (1,250 / 170); the company shows its 2026 base contracts at about 12 USD m of annual contract value per MW. ARR of 3.0 USD bn at 10 USD m per MW, between the two, gives 300 MW. The forecast rolls forward from this number, so every per-MW line in the estimates depends on it; the range brackets the two rates.</t>
        </is>
      </c>
    </row>
    <row r="3">
      <c r="A3" t="inlineStr">
        <is>
          <t>mw_added_per_quarter</t>
        </is>
      </c>
      <c r="B3" s="5" t="n">
        <v>200</v>
      </c>
      <c r="C3" t="inlineStr">
        <is>
          <t>MW</t>
        </is>
      </c>
      <c r="D3" t="inlineStr">
        <is>
          <t>6-K EX-99.2 2026-05-13 and 2026-08-12 (800 MW to 1 GW connected by end 2026; more than 1 GW a year from 2027)</t>
        </is>
      </c>
      <c r="E3" t="inlineStr">
        <is>
          <t>[derived; proposed; range 150 to 300] Active power going live per quarter. The company expects 800 MW to 1 GW of CONNECTED power by December 2026 (built and equipped) and to deploy more than 1 GW a year from 2027. Active power lags connected power by GPU installation, so from 300 MW at June 2026, 200 MW a quarter reaches 700 MW active by December 2026 and 800 MW a year afterwards, a little under the 2027 deployment pace. Held flat.</t>
        </is>
      </c>
    </row>
    <row r="4">
      <c r="A4" t="inlineStr">
        <is>
          <t>arr_per_new_mw_year_usd_m</t>
        </is>
      </c>
      <c r="B4" s="5" t="n">
        <v>14</v>
      </c>
      <c r="C4" t="inlineStr">
        <is>
          <t>USD m</t>
        </is>
      </c>
      <c r="D4" t="inlineStr">
        <is>
          <t>6-K EX-99.2 2026-08-12 (Q2 deals above 20 USD m of annual contract value per MW; 2026 base 12 USD m; ARR guidance 7 to 9 USD bn at end 2026)</t>
        </is>
      </c>
      <c r="E4" t="inlineStr">
        <is>
          <t>[derived; proposed; range 10 to 22] Annualised revenue a newly live MW adds to ARR in the quarter it goes live. Contracts signed in Q2 2026 carry 20 to 25 USD m of annual contract value per MW, the 2026 base about 12, and a MW takes a quarter or two to fill. From 3.0 USD bn at June 2026 with 200 MW a quarter, 14 lands year-end 2026 ARR at 8.6 USD bn, inside the 7 to 9 USD bn guidance; 10 gives the bottom of the range and 17.5 the top.</t>
        </is>
      </c>
    </row>
    <row r="5">
      <c r="A5" t="inlineStr">
        <is>
          <t>revenue_to_midpoint_arr</t>
        </is>
      </c>
      <c r="B5" s="5" t="n">
        <v>0.96</v>
      </c>
      <c r="C5" t="inlineStr">
        <is>
          <t>ratio</t>
        </is>
      </c>
      <c r="D5" t="inlineStr">
        <is>
          <t>6-K EX-99.2 2026-02-12 to 2026-08-12 (AI cloud revenue and ARR)</t>
        </is>
      </c>
      <c r="E5" t="inlineStr">
        <is>
          <t>[derived; proposed; range 0.9 to 1] Quarterly AI cloud revenue as a share of one quarter of the average of opening and closing ARR: 0.95, 0.99 and 0.94 over the three quarters to June 2026 (Outputs sheet). Below 1 because ARR is the last month annualised and revenue grows through the quarter.</t>
        </is>
      </c>
    </row>
    <row r="6">
      <c r="A6" t="inlineStr">
        <is>
          <t>ai_cloud_share_of_revenue</t>
        </is>
      </c>
      <c r="B6" s="11" t="n">
        <v>0.98</v>
      </c>
      <c r="C6" t="inlineStr">
        <is>
          <t>share</t>
        </is>
      </c>
      <c r="D6" t="inlineStr">
        <is>
          <t>6-K EX-99.2 2026-02-12 to 2026-08-12</t>
        </is>
      </c>
      <c r="E6" t="inlineStr">
        <is>
          <t>[derived; proposed; range 0.95 to 1] AI cloud revenue over group revenue: 0.94, 0.98 and 0.99 over the three quarters to June 2026. The other businesses (Avride, TripleTen) are small and growing slower, so the share drifts towards 1.</t>
        </is>
      </c>
    </row>
    <row r="7">
      <c r="A7" t="inlineStr">
        <is>
          <t>adjusted_ebitda_margin</t>
        </is>
      </c>
      <c r="B7" s="11" t="n">
        <v>0.45</v>
      </c>
      <c r="C7" t="inlineStr">
        <is>
          <t>share</t>
        </is>
      </c>
      <c r="D7" t="inlineStr">
        <is>
          <t>6-K EX-99.1 and EX-99.2 2026-02-12 to 2026-08-12</t>
        </is>
      </c>
      <c r="E7" t="inlineStr">
        <is>
          <t>[derived; proposed; range 0.35 to 0.55] Group adjusted EBITDA margin was 6.6%, 32.5% and 40.6% over the three quarters to June 2026; the AI cloud segment reached 49.7% in Q2 2026 and the company guides to about 40% for 2026 as a whole. 45% from Q3 2026, held flat: the segment margin less the drag of the other businesses and of newly live capacity that has not filled.</t>
        </is>
      </c>
    </row>
    <row r="8">
      <c r="A8" t="inlineStr">
        <is>
          <t>capex_per_mw_usd_m</t>
        </is>
      </c>
      <c r="B8" s="5" t="n">
        <v>25</v>
      </c>
      <c r="C8" t="inlineStr">
        <is>
          <t>USD m</t>
        </is>
      </c>
      <c r="D8" t="inlineStr">
        <is>
          <t>6-K EX-99.1 2025-05-20 to 2026-08-12 (purchases of property and equipment); assumptions/CRWV.csv capex_per_mw_usd_m</t>
        </is>
      </c>
      <c r="E8" t="inlineStr">
        <is>
          <t>[derived; proposed; range 18 to 35] Capital expenditure per MW of active power added, applied in the quarter the MW goes live. Cumulative capex from Q1 2025 to Q2 2026 was 12,196 USD m against roughly 270 MW brought live (about 30 MW to the inferred 300), 45 per MW, but much of that spend is for capacity not yet live and for owned sites (New Jersey, Pennsylvania, Finland). CoreWeave's cumulative figure is 21.4 on leased sites with the same GPU generations. 25 allows for Nebius owning more of its data centres; a spend-to-live lag is not modelled.</t>
        </is>
      </c>
    </row>
    <row r="9">
      <c r="A9" t="inlineStr">
        <is>
          <t>prepayment_share_of_capex</t>
        </is>
      </c>
      <c r="B9" s="11" t="n">
        <v>0.4</v>
      </c>
      <c r="C9" t="inlineStr">
        <is>
          <t>share</t>
        </is>
      </c>
      <c r="D9" t="inlineStr">
        <is>
          <t>6-K EX-99.2 2026-08-12 (70% of deals include prepayments covering 50 to 60% of the associated capex; over 9 USD bn of prepayments expected in 2026)</t>
        </is>
      </c>
      <c r="E9" t="inlineStr">
        <is>
          <t>[derived; proposed; range 0.2 to 0.55] Customer prepayments received as a share of the quarter's capex. 70% of Q2 2026 deals carried prepayments covering 50 to 60% of their capex, 0.7 x 0.55 = 0.385. The 9 USD bn the company expects in 2026 against 4.4 USD bn of deferred revenue added in H1 leaves about 4.6 USD bn for H2, 46% of the model's H2 capex. Prepayments are cash before revenue; they sit in deferred revenue until the capacity is delivered.</t>
        </is>
      </c>
    </row>
    <row r="10">
      <c r="A10" t="inlineStr">
        <is>
          <t>prepaid_revenue_recognised_share_per_quarter</t>
        </is>
      </c>
      <c r="B10" s="11" t="n">
        <v>0.06</v>
      </c>
      <c r="C10" t="inlineStr">
        <is>
          <t>share</t>
        </is>
      </c>
      <c r="D10" t="inlineStr"/>
      <c r="E10" t="inlineStr">
        <is>
          <t>[judgment; proposed; range 0.03 to 0.12] Prepaid revenue recognised in a quarter as a share of the opening deferred-revenue balance (non-cash revenue). Not disclosed. Deferred revenue was 5,975 USD m at June 2026 against contracts that run three to five years and capacity that is still being built, so most of it has not started to unwind; 6% a quarter unwinds a balance over about four years. CoreWeave's measured share is 1% to 4%.</t>
        </is>
      </c>
    </row>
    <row r="11">
      <c r="A11" t="inlineStr">
        <is>
          <t>other_operating_cash_share_of_capex</t>
        </is>
      </c>
      <c r="B11" s="11" t="n">
        <v>-0.1</v>
      </c>
      <c r="C11" t="inlineStr">
        <is>
          <t>share</t>
        </is>
      </c>
      <c r="D11" t="inlineStr">
        <is>
          <t>6-K EX-99.1 2025-05-20 to 2026-08-12 (cash flow statements)</t>
        </is>
      </c>
      <c r="E11" t="inlineStr">
        <is>
          <t>[derived; proposed; range -0.2 to 0] What cash from operations leaves unexplained after adjusted EBITDA and the change in deferred revenue: -1,344 USD m over the six quarters to June 2026 (Drivers sheet, other operating cash items). Receivables, supplier deposits and other assets that grow with the build-out, and interest paid. Expressed per dollar of capex (-11% over the period) rather than of revenue (-89%), because the items scale with the build, not with sales. In the forecast interest is shown separately, so this share carries the working capital only.</t>
        </is>
      </c>
    </row>
    <row r="12">
      <c r="A12" t="inlineStr">
        <is>
          <t>cost_of_debt</t>
        </is>
      </c>
      <c r="B12" s="11" t="n">
        <v>0.02</v>
      </c>
      <c r="C12" t="inlineStr">
        <is>
          <t>decimal</t>
        </is>
      </c>
      <c r="D12" t="inlineStr">
        <is>
          <t>6-K EX-99.1 2026-08-12 (balance sheet; proceeds from issuance of convertible notes)</t>
        </is>
      </c>
      <c r="E12" t="inlineStr">
        <is>
          <t>[judgment; proposed; range 0.01 to 0.05] Interest on the average debt balance. Debt of 8,546 USD m at June 2026 is almost entirely convertible notes issued in 2025 and Q1 2026, which carry low coupons; 2% is a round figure for the blend. Conventional GPU-backed debt, if added, would cost 7% to 10% (CoreWeave's stack).</t>
        </is>
      </c>
    </row>
    <row r="13">
      <c r="A13" t="inlineStr">
        <is>
          <t>debt_share_of_capex</t>
        </is>
      </c>
      <c r="B13" s="11" t="n">
        <v>0.4</v>
      </c>
      <c r="C13" t="inlineStr">
        <is>
          <t>share</t>
        </is>
      </c>
      <c r="D13" t="inlineStr">
        <is>
          <t>6-K EX-99.1 2025-11-12 to 2026-08-12 (cash flow statements)</t>
        </is>
      </c>
      <c r="E13" t="inlineStr">
        <is>
          <t>[derived; proposed; range 0.2 to 0.8] Net debt raised as a share of capex. Over the four quarters to June 2026 the company raised 8,500 USD m of convertible notes (76% of the 11,142 USD m of capex) and 6,000 USD m of equity and warrants, and now holds 8,042 USD m of cash. With prepayments covering 40% of capex the remaining need is smaller; 40% keeps net debt to EBITDA below 2x through 2028. Whatever the plan still lacks to hold minimum cash appears as external funding required, which is equity-like.</t>
        </is>
      </c>
    </row>
    <row r="14">
      <c r="A14" t="inlineStr">
        <is>
          <t>minimum_cash_usd_bn</t>
        </is>
      </c>
      <c r="B14" s="5" t="n">
        <v>2</v>
      </c>
      <c r="C14" t="inlineStr">
        <is>
          <t>USD bn</t>
        </is>
      </c>
      <c r="D14" t="inlineStr"/>
      <c r="E14" t="inlineStr">
        <is>
          <t>[judgment; proposed; range 1 to 4] Cash the company is assumed to keep on hand. Quarter-end cash was between 1.4 and 9.3 USD bn over the six quarters to June 2026. When the forecast cash balance would fall below this, the model shows the shortfall as external funding required: equity-like money that bears no interest and is not repaid, so it does not enter debt or leverage.</t>
        </is>
      </c>
    </row>
    <row r="15">
      <c r="A15" t="inlineStr">
        <is>
          <t>disclosed_payback_months</t>
        </is>
      </c>
      <c r="B15" s="5" t="n">
        <v>22</v>
      </c>
      <c r="C15" t="inlineStr">
        <is>
          <t>months</t>
        </is>
      </c>
      <c r="D15" t="inlineStr">
        <is>
          <t>6-K EX-99.2 2026-08-12</t>
        </is>
      </c>
      <c r="E15" t="inlineStr">
        <is>
          <t>[disclosed; proposed] Not an input. The company's expected payback on the capex and related operating costs of the deals signed in Q2 2026: 1 year and 10 months, down from two to three years before. Shown beside the model's per-MW payback as a check; the company's figure is per deal, at the new contracts' 20 to 25 USD m of annual contract value per MW and net of their prepayments.</t>
        </is>
      </c>
    </row>
    <row r="16">
      <c r="A16" t="inlineStr">
        <is>
          <t>arr_guidance_ye2026_low_usd_m</t>
        </is>
      </c>
      <c r="B16" s="5" t="n">
        <v>7000</v>
      </c>
      <c r="C16" t="inlineStr">
        <is>
          <t>USD m</t>
        </is>
      </c>
      <c r="D16" t="inlineStr">
        <is>
          <t>6-K EX-99.2 2025-11-12; reaffirmed 2026-08-12</t>
        </is>
      </c>
      <c r="E16" t="inlineStr">
        <is>
          <t>[disclosed; proposed] Not an input. The bottom of the company's 7 to 9 USD bn ARR guidance for the end of 2026, shown on the Outputs sheet against the model's ARR.</t>
        </is>
      </c>
    </row>
    <row r="17">
      <c r="A17" t="inlineStr">
        <is>
          <t>arr_guidance_ye2026_high_usd_m</t>
        </is>
      </c>
      <c r="B17" s="5" t="n">
        <v>9000</v>
      </c>
      <c r="C17" t="inlineStr">
        <is>
          <t>USD m</t>
        </is>
      </c>
      <c r="D17" t="inlineStr">
        <is>
          <t>6-K EX-99.2 2025-11-12; reaffirmed 2026-08-12</t>
        </is>
      </c>
      <c r="E17" t="inlineStr">
        <is>
          <t>[disclosed; proposed] Not an input. The top of the same guidance.</t>
        </is>
      </c>
    </row>
    <row r="18">
      <c r="A18" t="inlineStr">
        <is>
          <t>revenue_guidance_2026_low_usd_m</t>
        </is>
      </c>
      <c r="B18" s="5" t="n">
        <v>3000</v>
      </c>
      <c r="C18" t="inlineStr">
        <is>
          <t>USD m</t>
        </is>
      </c>
      <c r="D18" t="inlineStr">
        <is>
          <t>6-K EX-99.2 2026-05-13; reaffirmed 2026-08-12</t>
        </is>
      </c>
      <c r="E18" t="inlineStr">
        <is>
          <t>[disclosed; proposed] Not an input. The bottom of the company's 3.0 to 3.4 USD bn revenue guidance for 2026, shown on the Outputs sheet against the model's revenue. The model's straight-line ramp runs above it because the company's own ARR guidance implies most of the year's new capacity bills only in the fourth quarter.</t>
        </is>
      </c>
    </row>
    <row r="19">
      <c r="A19" t="inlineStr">
        <is>
          <t>revenue_guidance_2026_high_usd_m</t>
        </is>
      </c>
      <c r="B19" s="5" t="n">
        <v>3400</v>
      </c>
      <c r="C19" t="inlineStr">
        <is>
          <t>USD m</t>
        </is>
      </c>
      <c r="D19" t="inlineStr">
        <is>
          <t>6-K EX-99.2 2026-05-13; reaffirmed 2026-08-12</t>
        </is>
      </c>
      <c r="E19" t="inlineStr">
        <is>
          <t>[disclosed; proposed] Not an input. The top of the same guidance.</t>
        </is>
      </c>
    </row>
    <row r="20">
      <c r="A20" t="inlineStr">
        <is>
          <t>mw_added_2026q3</t>
        </is>
      </c>
      <c r="B20" s="5" t="n">
        <v>50</v>
      </c>
      <c r="C20" t="inlineStr">
        <is>
          <t>MW</t>
        </is>
      </c>
      <c r="D20" t="inlineStr">
        <is>
          <t>6-K EX-99.2 2026-05-13 and 2026-08-12 (2026 revenue guidance 3.0 to 3.4 USD bn; ARR guidance 7 to 9 USD bn; capacity added in Q3 to expand the footprint)</t>
        </is>
      </c>
      <c r="E20" t="inlineStr">
        <is>
          <t>[derived; proposed; range 25 to 200] Active power going live in Q3 2026, overriding the flat pace for this quarter. The company guides to 3.0 to 3.4 USD bn of 2026 revenue and 7 to 9 USD bn of ARR at year end. With 981 USD m booked in the first half, both hold only if little new capacity bills in Q3 and most of it arrives in Q4: 200 MW in each quarter gives 3.8 USD bn of revenue, above the range, while 50 then 350 gives 3.3 USD bn and the same 8.6 USD bn of ARR. The split is inferred from the guidance, not disclosed.</t>
        </is>
      </c>
    </row>
    <row r="21">
      <c r="A21" t="inlineStr">
        <is>
          <t>mw_added_2026q4</t>
        </is>
      </c>
      <c r="B21" s="5" t="n">
        <v>350</v>
      </c>
      <c r="C21" t="inlineStr">
        <is>
          <t>MW</t>
        </is>
      </c>
      <c r="D21" t="inlineStr">
        <is>
          <t>6-K EX-99.2 2026-05-13 and 2026-08-12 (800 MW to 1 GW connected by end 2026)</t>
        </is>
      </c>
      <c r="E21" t="inlineStr">
        <is>
          <t>[derived; proposed; range 200 to 500] Active power going live in Q4 2026, overriding the flat pace for this quarter; see mw_added_2026q3. Takes active power from 350 MW to 700 MW at December 2026, inside the 800 MW to 1 GW of connected power the company expects by then.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0" t="inlineStr">
        <is>
          <t>Line item</t>
        </is>
      </c>
      <c r="B1" s="10" t="inlineStr">
        <is>
          <t>Unit</t>
        </is>
      </c>
      <c r="C1" s="12" t="inlineStr">
        <is>
          <t>2025Q1A</t>
        </is>
      </c>
      <c r="D1" s="12" t="inlineStr">
        <is>
          <t>2025Q2A</t>
        </is>
      </c>
      <c r="E1" s="12" t="inlineStr">
        <is>
          <t>2025Q3A</t>
        </is>
      </c>
      <c r="F1" s="12" t="inlineStr">
        <is>
          <t>2025Q4A</t>
        </is>
      </c>
      <c r="G1" s="12" t="inlineStr">
        <is>
          <t>2026Q1A</t>
        </is>
      </c>
      <c r="H1" s="12" t="inlineStr">
        <is>
          <t>2026Q2A</t>
        </is>
      </c>
      <c r="I1" s="12" t="inlineStr">
        <is>
          <t>2026Q3E</t>
        </is>
      </c>
      <c r="J1" s="12" t="inlineStr">
        <is>
          <t>2026Q4E</t>
        </is>
      </c>
      <c r="K1" s="12" t="inlineStr">
        <is>
          <t>2027Q1E</t>
        </is>
      </c>
      <c r="L1" s="12" t="inlineStr">
        <is>
          <t>2027Q2E</t>
        </is>
      </c>
      <c r="M1" s="12" t="inlineStr">
        <is>
          <t>2027Q3E</t>
        </is>
      </c>
      <c r="N1" s="12" t="inlineStr">
        <is>
          <t>2027Q4E</t>
        </is>
      </c>
      <c r="O1" s="12" t="inlineStr">
        <is>
          <t>2028Q1E</t>
        </is>
      </c>
      <c r="P1" s="12" t="inlineStr">
        <is>
          <t>2028Q2E</t>
        </is>
      </c>
      <c r="Q1" s="12" t="inlineStr">
        <is>
          <t>2028Q3E</t>
        </is>
      </c>
      <c r="R1" s="12" t="inlineStr">
        <is>
          <t>2028Q4E</t>
        </is>
      </c>
    </row>
    <row r="2">
      <c r="A2" t="inlineStr">
        <is>
          <t>Active power going live, plan (register: mw_added_&lt;quarter&gt; where given, else mw_added_per_quarter)</t>
        </is>
      </c>
      <c r="B2" t="inlineStr">
        <is>
          <t>MW</t>
        </is>
      </c>
      <c r="C2" s="13" t="n"/>
      <c r="D2" s="13" t="n"/>
      <c r="E2" s="13" t="n"/>
      <c r="F2" s="13" t="n"/>
      <c r="G2" s="13" t="n"/>
      <c r="H2" s="13" t="n"/>
      <c r="I2" s="13" t="n">
        <v>50</v>
      </c>
      <c r="J2" s="13" t="n">
        <v>350</v>
      </c>
      <c r="K2" s="13" t="n">
        <v>200</v>
      </c>
      <c r="L2" s="13" t="n">
        <v>200</v>
      </c>
      <c r="M2" s="13" t="n">
        <v>200</v>
      </c>
      <c r="N2" s="13" t="n">
        <v>200</v>
      </c>
      <c r="O2" s="13" t="n">
        <v>200</v>
      </c>
      <c r="P2" s="13" t="n">
        <v>200</v>
      </c>
      <c r="Q2" s="13" t="n">
        <v>200</v>
      </c>
      <c r="R2" s="13" t="n">
        <v>200</v>
      </c>
    </row>
    <row r="3">
      <c r="A3" t="inlineStr">
        <is>
          <t>Active power, end of quarter (disclosed Dec 2025; June 2026 inferred from ARR)</t>
        </is>
      </c>
      <c r="B3" t="inlineStr">
        <is>
          <t>MW</t>
        </is>
      </c>
      <c r="C3" s="13" t="n"/>
      <c r="D3" s="13" t="n"/>
      <c r="E3" s="13" t="n"/>
      <c r="F3" s="13" t="n">
        <v>170</v>
      </c>
      <c r="G3" s="13" t="n"/>
      <c r="H3" s="13" t="n">
        <v>300</v>
      </c>
      <c r="I3" s="14">
        <f>H3+I2</f>
        <v/>
      </c>
      <c r="J3" s="14">
        <f>I3+J2</f>
        <v/>
      </c>
      <c r="K3" s="14">
        <f>J3+K2</f>
        <v/>
      </c>
      <c r="L3" s="14">
        <f>K3+L2</f>
        <v/>
      </c>
      <c r="M3" s="14">
        <f>L3+M2</f>
        <v/>
      </c>
      <c r="N3" s="14">
        <f>M3+N2</f>
        <v/>
      </c>
      <c r="O3" s="14">
        <f>N3+O2</f>
        <v/>
      </c>
      <c r="P3" s="14">
        <f>O3+P2</f>
        <v/>
      </c>
      <c r="Q3" s="14">
        <f>P3+Q2</f>
        <v/>
      </c>
      <c r="R3" s="14">
        <f>Q3+R2</f>
        <v/>
      </c>
    </row>
    <row r="4">
      <c r="A4" t="inlineStr">
        <is>
          <t>Active power added (went live)</t>
        </is>
      </c>
      <c r="B4" t="inlineStr">
        <is>
          <t>MW</t>
        </is>
      </c>
      <c r="C4" s="13" t="n"/>
      <c r="D4" s="13" t="n"/>
      <c r="E4" s="13" t="n"/>
      <c r="F4" s="13" t="n"/>
      <c r="G4" s="13" t="n"/>
      <c r="H4" s="13" t="n"/>
      <c r="I4" s="14">
        <f>I3-H3</f>
        <v/>
      </c>
      <c r="J4" s="14">
        <f>J3-I3</f>
        <v/>
      </c>
      <c r="K4" s="14">
        <f>K3-J3</f>
        <v/>
      </c>
      <c r="L4" s="14">
        <f>L3-K3</f>
        <v/>
      </c>
      <c r="M4" s="14">
        <f>M3-L3</f>
        <v/>
      </c>
      <c r="N4" s="14">
        <f>N3-M3</f>
        <v/>
      </c>
      <c r="O4" s="14">
        <f>O3-N3</f>
        <v/>
      </c>
      <c r="P4" s="14">
        <f>P3-O3</f>
        <v/>
      </c>
      <c r="Q4" s="14">
        <f>Q3-P3</f>
        <v/>
      </c>
      <c r="R4" s="14">
        <f>R3-Q3</f>
        <v/>
      </c>
    </row>
    <row r="5">
      <c r="A5" t="inlineStr">
        <is>
          <t>Active power, average</t>
        </is>
      </c>
      <c r="B5" t="inlineStr">
        <is>
          <t>MW</t>
        </is>
      </c>
      <c r="C5" s="13" t="n"/>
      <c r="D5" s="13" t="n"/>
      <c r="E5" s="13" t="n"/>
      <c r="F5" s="13" t="n"/>
      <c r="G5" s="13" t="n"/>
      <c r="H5" s="13" t="n"/>
      <c r="I5" s="14">
        <f>(H3+I3)/2</f>
        <v/>
      </c>
      <c r="J5" s="14">
        <f>(I3+J3)/2</f>
        <v/>
      </c>
      <c r="K5" s="14">
        <f>(J3+K3)/2</f>
        <v/>
      </c>
      <c r="L5" s="14">
        <f>(K3+L3)/2</f>
        <v/>
      </c>
      <c r="M5" s="14">
        <f>(L3+M3)/2</f>
        <v/>
      </c>
      <c r="N5" s="14">
        <f>(M3+N3)/2</f>
        <v/>
      </c>
      <c r="O5" s="14">
        <f>(N3+O3)/2</f>
        <v/>
      </c>
      <c r="P5" s="14">
        <f>(O3+P3)/2</f>
        <v/>
      </c>
      <c r="Q5" s="14">
        <f>(P3+Q3)/2</f>
        <v/>
      </c>
      <c r="R5" s="14">
        <f>(Q3+R3)/2</f>
        <v/>
      </c>
    </row>
    <row r="6">
      <c r="A6" t="inlineStr">
        <is>
          <t>Annualised run-rate revenue (ARR), end of quarter</t>
        </is>
      </c>
      <c r="B6" t="inlineStr">
        <is>
          <t>USD m</t>
        </is>
      </c>
      <c r="C6" s="15" t="n">
        <v>249</v>
      </c>
      <c r="D6" s="15" t="n">
        <v>430</v>
      </c>
      <c r="E6" s="15" t="n">
        <v>551</v>
      </c>
      <c r="F6" s="15" t="n">
        <v>1250</v>
      </c>
      <c r="G6" s="15" t="n">
        <v>1900</v>
      </c>
      <c r="H6" s="15" t="n">
        <v>3000</v>
      </c>
      <c r="I6" s="16">
        <f>H6+I4*in_arr_per_new_mw_year_usd_m</f>
        <v/>
      </c>
      <c r="J6" s="16">
        <f>I6+J4*in_arr_per_new_mw_year_usd_m</f>
        <v/>
      </c>
      <c r="K6" s="16">
        <f>J6+K4*in_arr_per_new_mw_year_usd_m</f>
        <v/>
      </c>
      <c r="L6" s="16">
        <f>K6+L4*in_arr_per_new_mw_year_usd_m</f>
        <v/>
      </c>
      <c r="M6" s="16">
        <f>L6+M4*in_arr_per_new_mw_year_usd_m</f>
        <v/>
      </c>
      <c r="N6" s="16">
        <f>M6+N4*in_arr_per_new_mw_year_usd_m</f>
        <v/>
      </c>
      <c r="O6" s="16">
        <f>N6+O4*in_arr_per_new_mw_year_usd_m</f>
        <v/>
      </c>
      <c r="P6" s="16">
        <f>O6+P4*in_arr_per_new_mw_year_usd_m</f>
        <v/>
      </c>
      <c r="Q6" s="16">
        <f>P6+Q4*in_arr_per_new_mw_year_usd_m</f>
        <v/>
      </c>
      <c r="R6" s="16">
        <f>Q6+R4*in_arr_per_new_mw_year_usd_m</f>
        <v/>
      </c>
    </row>
    <row r="7">
      <c r="A7" t="inlineStr">
        <is>
          <t>AI cloud revenue</t>
        </is>
      </c>
      <c r="B7" t="inlineStr">
        <is>
          <t>USD m</t>
        </is>
      </c>
      <c r="C7" s="15" t="n"/>
      <c r="D7" s="15" t="n"/>
      <c r="E7" s="15" t="n"/>
      <c r="F7" s="15" t="n">
        <v>214.2</v>
      </c>
      <c r="G7" s="15" t="n">
        <v>389.7</v>
      </c>
      <c r="H7" s="15" t="n">
        <v>574.9</v>
      </c>
      <c r="I7" s="16">
        <f>(H6+I6)/8*in_revenue_to_midpoint_arr</f>
        <v/>
      </c>
      <c r="J7" s="16">
        <f>(I6+J6)/8*in_revenue_to_midpoint_arr</f>
        <v/>
      </c>
      <c r="K7" s="16">
        <f>(J6+K6)/8*in_revenue_to_midpoint_arr</f>
        <v/>
      </c>
      <c r="L7" s="16">
        <f>(K6+L6)/8*in_revenue_to_midpoint_arr</f>
        <v/>
      </c>
      <c r="M7" s="16">
        <f>(L6+M6)/8*in_revenue_to_midpoint_arr</f>
        <v/>
      </c>
      <c r="N7" s="16">
        <f>(M6+N6)/8*in_revenue_to_midpoint_arr</f>
        <v/>
      </c>
      <c r="O7" s="16">
        <f>(N6+O6)/8*in_revenue_to_midpoint_arr</f>
        <v/>
      </c>
      <c r="P7" s="16">
        <f>(O6+P6)/8*in_revenue_to_midpoint_arr</f>
        <v/>
      </c>
      <c r="Q7" s="16">
        <f>(P6+Q6)/8*in_revenue_to_midpoint_arr</f>
        <v/>
      </c>
      <c r="R7" s="16">
        <f>(Q6+R6)/8*in_revenue_to_midpoint_arr</f>
        <v/>
      </c>
    </row>
    <row r="8">
      <c r="A8" t="inlineStr">
        <is>
          <t>Revenue, group</t>
        </is>
      </c>
      <c r="B8" t="inlineStr">
        <is>
          <t>USD m</t>
        </is>
      </c>
      <c r="C8" s="15" t="n">
        <v>55.3</v>
      </c>
      <c r="D8" s="15" t="n">
        <v>105.1</v>
      </c>
      <c r="E8" s="15" t="n">
        <v>146.1</v>
      </c>
      <c r="F8" s="15" t="n">
        <v>227.7</v>
      </c>
      <c r="G8" s="15" t="n">
        <v>399</v>
      </c>
      <c r="H8" s="15" t="n">
        <v>582.3</v>
      </c>
      <c r="I8" s="16">
        <f>I7/in_ai_cloud_share_of_revenue</f>
        <v/>
      </c>
      <c r="J8" s="16">
        <f>J7/in_ai_cloud_share_of_revenue</f>
        <v/>
      </c>
      <c r="K8" s="16">
        <f>K7/in_ai_cloud_share_of_revenue</f>
        <v/>
      </c>
      <c r="L8" s="16">
        <f>L7/in_ai_cloud_share_of_revenue</f>
        <v/>
      </c>
      <c r="M8" s="16">
        <f>M7/in_ai_cloud_share_of_revenue</f>
        <v/>
      </c>
      <c r="N8" s="16">
        <f>N7/in_ai_cloud_share_of_revenue</f>
        <v/>
      </c>
      <c r="O8" s="16">
        <f>O7/in_ai_cloud_share_of_revenue</f>
        <v/>
      </c>
      <c r="P8" s="16">
        <f>P7/in_ai_cloud_share_of_revenue</f>
        <v/>
      </c>
      <c r="Q8" s="16">
        <f>Q7/in_ai_cloud_share_of_revenue</f>
        <v/>
      </c>
      <c r="R8" s="16">
        <f>R7/in_ai_cloud_share_of_revenue</f>
        <v/>
      </c>
    </row>
    <row r="9">
      <c r="A9" t="inlineStr">
        <is>
          <t>Adjusted EBITDA, group</t>
        </is>
      </c>
      <c r="B9" t="inlineStr">
        <is>
          <t>USD m</t>
        </is>
      </c>
      <c r="C9" s="15" t="n">
        <v>-62.6</v>
      </c>
      <c r="D9" s="15" t="n">
        <v>-21</v>
      </c>
      <c r="E9" s="15" t="n">
        <v>-5.2</v>
      </c>
      <c r="F9" s="15" t="n">
        <v>15</v>
      </c>
      <c r="G9" s="15" t="n">
        <v>129.5</v>
      </c>
      <c r="H9" s="15" t="n">
        <v>236.2</v>
      </c>
      <c r="I9" s="16">
        <f>I8*in_adjusted_ebitda_margin</f>
        <v/>
      </c>
      <c r="J9" s="16">
        <f>J8*in_adjusted_ebitda_margin</f>
        <v/>
      </c>
      <c r="K9" s="16">
        <f>K8*in_adjusted_ebitda_margin</f>
        <v/>
      </c>
      <c r="L9" s="16">
        <f>L8*in_adjusted_ebitda_margin</f>
        <v/>
      </c>
      <c r="M9" s="16">
        <f>M8*in_adjusted_ebitda_margin</f>
        <v/>
      </c>
      <c r="N9" s="16">
        <f>N8*in_adjusted_ebitda_margin</f>
        <v/>
      </c>
      <c r="O9" s="16">
        <f>O8*in_adjusted_ebitda_margin</f>
        <v/>
      </c>
      <c r="P9" s="16">
        <f>P8*in_adjusted_ebitda_margin</f>
        <v/>
      </c>
      <c r="Q9" s="16">
        <f>Q8*in_adjusted_ebitda_margin</f>
        <v/>
      </c>
      <c r="R9" s="16">
        <f>R8*in_adjusted_ebitda_margin</f>
        <v/>
      </c>
    </row>
    <row r="10">
      <c r="A10" t="inlineStr">
        <is>
          <t>Capital expenditure</t>
        </is>
      </c>
      <c r="B10" t="inlineStr">
        <is>
          <t>USD m</t>
        </is>
      </c>
      <c r="C10" s="15" t="n">
        <v>543.9</v>
      </c>
      <c r="D10" s="15" t="n">
        <v>510.6</v>
      </c>
      <c r="E10" s="15" t="n">
        <v>955.5</v>
      </c>
      <c r="F10" s="15" t="n">
        <v>2056</v>
      </c>
      <c r="G10" s="15" t="n">
        <v>2472.9</v>
      </c>
      <c r="H10" s="15" t="n">
        <v>5657.4</v>
      </c>
      <c r="I10" s="16">
        <f>in_capex_per_mw_usd_m*I4</f>
        <v/>
      </c>
      <c r="J10" s="16">
        <f>in_capex_per_mw_usd_m*J4</f>
        <v/>
      </c>
      <c r="K10" s="16">
        <f>in_capex_per_mw_usd_m*K4</f>
        <v/>
      </c>
      <c r="L10" s="16">
        <f>in_capex_per_mw_usd_m*L4</f>
        <v/>
      </c>
      <c r="M10" s="16">
        <f>in_capex_per_mw_usd_m*M4</f>
        <v/>
      </c>
      <c r="N10" s="16">
        <f>in_capex_per_mw_usd_m*N4</f>
        <v/>
      </c>
      <c r="O10" s="16">
        <f>in_capex_per_mw_usd_m*O4</f>
        <v/>
      </c>
      <c r="P10" s="16">
        <f>in_capex_per_mw_usd_m*P4</f>
        <v/>
      </c>
      <c r="Q10" s="16">
        <f>in_capex_per_mw_usd_m*Q4</f>
        <v/>
      </c>
      <c r="R10" s="16">
        <f>in_capex_per_mw_usd_m*R4</f>
        <v/>
      </c>
    </row>
    <row r="11">
      <c r="A11" t="inlineStr">
        <is>
          <t>Customer prepayments received</t>
        </is>
      </c>
      <c r="B11" t="inlineStr">
        <is>
          <t>USD m</t>
        </is>
      </c>
      <c r="C11" s="15" t="n"/>
      <c r="D11" s="15" t="n"/>
      <c r="E11" s="15" t="n"/>
      <c r="F11" s="15" t="n"/>
      <c r="G11" s="15" t="n"/>
      <c r="H11" s="15" t="n"/>
      <c r="I11" s="16">
        <f>I10*in_prepayment_share_of_capex</f>
        <v/>
      </c>
      <c r="J11" s="16">
        <f>J10*in_prepayment_share_of_capex</f>
        <v/>
      </c>
      <c r="K11" s="16">
        <f>K10*in_prepayment_share_of_capex</f>
        <v/>
      </c>
      <c r="L11" s="16">
        <f>L10*in_prepayment_share_of_capex</f>
        <v/>
      </c>
      <c r="M11" s="16">
        <f>M10*in_prepayment_share_of_capex</f>
        <v/>
      </c>
      <c r="N11" s="16">
        <f>N10*in_prepayment_share_of_capex</f>
        <v/>
      </c>
      <c r="O11" s="16">
        <f>O10*in_prepayment_share_of_capex</f>
        <v/>
      </c>
      <c r="P11" s="16">
        <f>P10*in_prepayment_share_of_capex</f>
        <v/>
      </c>
      <c r="Q11" s="16">
        <f>Q10*in_prepayment_share_of_capex</f>
        <v/>
      </c>
      <c r="R11" s="16">
        <f>R10*in_prepayment_share_of_capex</f>
        <v/>
      </c>
    </row>
    <row r="12">
      <c r="A12" t="inlineStr">
        <is>
          <t>Prepaid revenue recognised (non-cash)</t>
        </is>
      </c>
      <c r="B12" t="inlineStr">
        <is>
          <t>USD m</t>
        </is>
      </c>
      <c r="C12" s="15" t="n"/>
      <c r="D12" s="15" t="n"/>
      <c r="E12" s="15" t="n"/>
      <c r="F12" s="15" t="n"/>
      <c r="G12" s="15" t="n"/>
      <c r="H12" s="15" t="n"/>
      <c r="I12" s="16">
        <f>H15*in_prepaid_revenue_recognised_share_per_quarter</f>
        <v/>
      </c>
      <c r="J12" s="16">
        <f>I15*in_prepaid_revenue_recognised_share_per_quarter</f>
        <v/>
      </c>
      <c r="K12" s="16">
        <f>J15*in_prepaid_revenue_recognised_share_per_quarter</f>
        <v/>
      </c>
      <c r="L12" s="16">
        <f>K15*in_prepaid_revenue_recognised_share_per_quarter</f>
        <v/>
      </c>
      <c r="M12" s="16">
        <f>L15*in_prepaid_revenue_recognised_share_per_quarter</f>
        <v/>
      </c>
      <c r="N12" s="16">
        <f>M15*in_prepaid_revenue_recognised_share_per_quarter</f>
        <v/>
      </c>
      <c r="O12" s="16">
        <f>N15*in_prepaid_revenue_recognised_share_per_quarter</f>
        <v/>
      </c>
      <c r="P12" s="16">
        <f>O15*in_prepaid_revenue_recognised_share_per_quarter</f>
        <v/>
      </c>
      <c r="Q12" s="16">
        <f>P15*in_prepaid_revenue_recognised_share_per_quarter</f>
        <v/>
      </c>
      <c r="R12" s="16">
        <f>Q15*in_prepaid_revenue_recognised_share_per_quarter</f>
        <v/>
      </c>
    </row>
    <row r="13">
      <c r="A13" t="inlineStr">
        <is>
          <t>Change in deferred revenue (cash flow statement)</t>
        </is>
      </c>
      <c r="B13" t="inlineStr">
        <is>
          <t>USD m</t>
        </is>
      </c>
      <c r="C13" s="15" t="n">
        <v>2.5</v>
      </c>
      <c r="D13" s="15" t="n">
        <v>0.3000000000000007</v>
      </c>
      <c r="E13" s="15" t="n">
        <v>-3.8</v>
      </c>
      <c r="F13" s="15" t="n">
        <v>1566.5</v>
      </c>
      <c r="G13" s="15" t="n">
        <v>3198</v>
      </c>
      <c r="H13" s="15" t="n">
        <v>1197</v>
      </c>
      <c r="I13" s="17">
        <f>I11-I12</f>
        <v/>
      </c>
      <c r="J13" s="17">
        <f>J11-J12</f>
        <v/>
      </c>
      <c r="K13" s="17">
        <f>K11-K12</f>
        <v/>
      </c>
      <c r="L13" s="17">
        <f>L11-L12</f>
        <v/>
      </c>
      <c r="M13" s="17">
        <f>M11-M12</f>
        <v/>
      </c>
      <c r="N13" s="17">
        <f>N11-N12</f>
        <v/>
      </c>
      <c r="O13" s="17">
        <f>O11-O12</f>
        <v/>
      </c>
      <c r="P13" s="17">
        <f>P11-P12</f>
        <v/>
      </c>
      <c r="Q13" s="17">
        <f>Q11-Q12</f>
        <v/>
      </c>
      <c r="R13" s="17">
        <f>R11-R12</f>
        <v/>
      </c>
    </row>
    <row r="14">
      <c r="A14" t="inlineStr">
        <is>
          <t>Other deferred revenue movements (plug to reported balance)</t>
        </is>
      </c>
      <c r="B14" t="inlineStr">
        <is>
          <t>USD m</t>
        </is>
      </c>
      <c r="C14" s="15" t="n">
        <v>0</v>
      </c>
      <c r="D14" s="15" t="n">
        <v>0</v>
      </c>
      <c r="E14" s="15" t="n">
        <v>0.09999999999999876</v>
      </c>
      <c r="F14" s="15" t="n">
        <v>-4.599999999999909</v>
      </c>
      <c r="G14" s="15" t="n">
        <v>2.600000000000364</v>
      </c>
      <c r="H14" s="15" t="n">
        <v>0.0999999999994543</v>
      </c>
      <c r="I14" s="15" t="n">
        <v>0</v>
      </c>
      <c r="J14" s="15" t="n">
        <v>0</v>
      </c>
      <c r="K14" s="15" t="n">
        <v>0</v>
      </c>
      <c r="L14" s="15" t="n">
        <v>0</v>
      </c>
      <c r="M14" s="15" t="n">
        <v>0</v>
      </c>
      <c r="N14" s="15" t="n">
        <v>0</v>
      </c>
      <c r="O14" s="15" t="n">
        <v>0</v>
      </c>
      <c r="P14" s="15" t="n">
        <v>0</v>
      </c>
      <c r="Q14" s="15" t="n">
        <v>0</v>
      </c>
      <c r="R14" s="15" t="n">
        <v>0</v>
      </c>
    </row>
    <row r="15">
      <c r="A15" t="inlineStr">
        <is>
          <t>Deferred revenue, end of quarter</t>
        </is>
      </c>
      <c r="B15" t="inlineStr">
        <is>
          <t>USD m</t>
        </is>
      </c>
      <c r="C15" s="15" t="n">
        <v>19</v>
      </c>
      <c r="D15" s="15" t="n">
        <v>19.3</v>
      </c>
      <c r="E15" s="15" t="n">
        <v>15.6</v>
      </c>
      <c r="F15" s="15" t="n">
        <v>1577.5</v>
      </c>
      <c r="G15" s="15" t="n">
        <v>4778.1</v>
      </c>
      <c r="H15" s="15" t="n">
        <v>5975.2</v>
      </c>
      <c r="I15" s="17">
        <f>H15+I13+I14</f>
        <v/>
      </c>
      <c r="J15" s="17">
        <f>I15+J13+J14</f>
        <v/>
      </c>
      <c r="K15" s="17">
        <f>J15+K13+K14</f>
        <v/>
      </c>
      <c r="L15" s="17">
        <f>K15+L13+L14</f>
        <v/>
      </c>
      <c r="M15" s="17">
        <f>L15+M13+M14</f>
        <v/>
      </c>
      <c r="N15" s="17">
        <f>M15+N13+N14</f>
        <v/>
      </c>
      <c r="O15" s="17">
        <f>N15+O13+O14</f>
        <v/>
      </c>
      <c r="P15" s="17">
        <f>O15+P13+P14</f>
        <v/>
      </c>
      <c r="Q15" s="17">
        <f>P15+Q13+Q14</f>
        <v/>
      </c>
      <c r="R15" s="17">
        <f>Q15+R13+R14</f>
        <v/>
      </c>
    </row>
    <row r="16">
      <c r="A16" t="inlineStr">
        <is>
          <t>Interest on debt (inside other items in actuals)</t>
        </is>
      </c>
      <c r="B16" t="inlineStr">
        <is>
          <t>USD m</t>
        </is>
      </c>
      <c r="C16" s="15" t="n"/>
      <c r="D16" s="15" t="n"/>
      <c r="E16" s="15" t="n"/>
      <c r="F16" s="15" t="n"/>
      <c r="G16" s="15" t="n"/>
      <c r="H16" s="15" t="n"/>
      <c r="I16" s="16">
        <f>(H20+I20)/2*in_cost_of_debt/4</f>
        <v/>
      </c>
      <c r="J16" s="16">
        <f>(I20+J20)/2*in_cost_of_debt/4</f>
        <v/>
      </c>
      <c r="K16" s="16">
        <f>(J20+K20)/2*in_cost_of_debt/4</f>
        <v/>
      </c>
      <c r="L16" s="16">
        <f>(K20+L20)/2*in_cost_of_debt/4</f>
        <v/>
      </c>
      <c r="M16" s="16">
        <f>(L20+M20)/2*in_cost_of_debt/4</f>
        <v/>
      </c>
      <c r="N16" s="16">
        <f>(M20+N20)/2*in_cost_of_debt/4</f>
        <v/>
      </c>
      <c r="O16" s="16">
        <f>(N20+O20)/2*in_cost_of_debt/4</f>
        <v/>
      </c>
      <c r="P16" s="16">
        <f>(O20+P20)/2*in_cost_of_debt/4</f>
        <v/>
      </c>
      <c r="Q16" s="16">
        <f>(P20+Q20)/2*in_cost_of_debt/4</f>
        <v/>
      </c>
      <c r="R16" s="16">
        <f>(Q20+R20)/2*in_cost_of_debt/4</f>
        <v/>
      </c>
    </row>
    <row r="17">
      <c r="A17" t="inlineStr">
        <is>
          <t>Other operating cash items (actuals: everything between EBITDA plus deferred revenue and reported cash from operations)</t>
        </is>
      </c>
      <c r="B17" t="inlineStr">
        <is>
          <t>USD m</t>
        </is>
      </c>
      <c r="C17" s="15" t="n">
        <v>-124</v>
      </c>
      <c r="D17" s="15" t="n">
        <v>-147.2</v>
      </c>
      <c r="E17" s="15" t="n">
        <v>-71.59999999999999</v>
      </c>
      <c r="F17" s="15" t="n">
        <v>-747.2</v>
      </c>
      <c r="G17" s="15" t="n">
        <v>-1069.5</v>
      </c>
      <c r="H17" s="15" t="n">
        <v>812.8999999999999</v>
      </c>
      <c r="I17" s="16">
        <f>I10*in_other_operating_cash_share_of_capex</f>
        <v/>
      </c>
      <c r="J17" s="16">
        <f>J10*in_other_operating_cash_share_of_capex</f>
        <v/>
      </c>
      <c r="K17" s="16">
        <f>K10*in_other_operating_cash_share_of_capex</f>
        <v/>
      </c>
      <c r="L17" s="16">
        <f>L10*in_other_operating_cash_share_of_capex</f>
        <v/>
      </c>
      <c r="M17" s="16">
        <f>M10*in_other_operating_cash_share_of_capex</f>
        <v/>
      </c>
      <c r="N17" s="16">
        <f>N10*in_other_operating_cash_share_of_capex</f>
        <v/>
      </c>
      <c r="O17" s="16">
        <f>O10*in_other_operating_cash_share_of_capex</f>
        <v/>
      </c>
      <c r="P17" s="16">
        <f>P10*in_other_operating_cash_share_of_capex</f>
        <v/>
      </c>
      <c r="Q17" s="16">
        <f>Q10*in_other_operating_cash_share_of_capex</f>
        <v/>
      </c>
      <c r="R17" s="16">
        <f>R10*in_other_operating_cash_share_of_capex</f>
        <v/>
      </c>
    </row>
    <row r="18">
      <c r="A18" t="inlineStr">
        <is>
          <t>Cash from operations</t>
        </is>
      </c>
      <c r="B18" t="inlineStr">
        <is>
          <t>USD m</t>
        </is>
      </c>
      <c r="C18" s="15" t="n">
        <v>-184.1</v>
      </c>
      <c r="D18" s="15" t="n">
        <v>-167.9</v>
      </c>
      <c r="E18" s="15" t="n">
        <v>-80.59999999999999</v>
      </c>
      <c r="F18" s="15" t="n">
        <v>834.3</v>
      </c>
      <c r="G18" s="15" t="n">
        <v>2258</v>
      </c>
      <c r="H18" s="15" t="n">
        <v>2246.1</v>
      </c>
      <c r="I18" s="17">
        <f>I9-I16+I13+I17</f>
        <v/>
      </c>
      <c r="J18" s="17">
        <f>J9-J16+J13+J17</f>
        <v/>
      </c>
      <c r="K18" s="17">
        <f>K9-K16+K13+K17</f>
        <v/>
      </c>
      <c r="L18" s="17">
        <f>L9-L16+L13+L17</f>
        <v/>
      </c>
      <c r="M18" s="17">
        <f>M9-M16+M13+M17</f>
        <v/>
      </c>
      <c r="N18" s="17">
        <f>N9-N16+N13+N17</f>
        <v/>
      </c>
      <c r="O18" s="17">
        <f>O9-O16+O13+O17</f>
        <v/>
      </c>
      <c r="P18" s="17">
        <f>P9-P16+P13+P17</f>
        <v/>
      </c>
      <c r="Q18" s="17">
        <f>Q9-Q16+Q13+Q17</f>
        <v/>
      </c>
      <c r="R18" s="17">
        <f>R9-R16+R13+R17</f>
        <v/>
      </c>
    </row>
    <row r="19">
      <c r="A19" t="inlineStr">
        <is>
          <t>Debt raised, net (actuals: change in the reported balance)</t>
        </is>
      </c>
      <c r="B19" t="inlineStr">
        <is>
          <t>USD m</t>
        </is>
      </c>
      <c r="C19" s="15" t="n">
        <v>0.1000000000000005</v>
      </c>
      <c r="D19" s="15" t="n">
        <v>980</v>
      </c>
      <c r="E19" s="15" t="n">
        <v>3120.6</v>
      </c>
      <c r="F19" s="15" t="n">
        <v>20.89999999999964</v>
      </c>
      <c r="G19" s="15" t="n">
        <v>4322.7</v>
      </c>
      <c r="H19" s="15" t="n">
        <v>95.30000000000109</v>
      </c>
      <c r="I19" s="16">
        <f>I10*in_debt_share_of_capex</f>
        <v/>
      </c>
      <c r="J19" s="16">
        <f>J10*in_debt_share_of_capex</f>
        <v/>
      </c>
      <c r="K19" s="16">
        <f>K10*in_debt_share_of_capex</f>
        <v/>
      </c>
      <c r="L19" s="16">
        <f>L10*in_debt_share_of_capex</f>
        <v/>
      </c>
      <c r="M19" s="16">
        <f>M10*in_debt_share_of_capex</f>
        <v/>
      </c>
      <c r="N19" s="16">
        <f>N10*in_debt_share_of_capex</f>
        <v/>
      </c>
      <c r="O19" s="16">
        <f>O10*in_debt_share_of_capex</f>
        <v/>
      </c>
      <c r="P19" s="16">
        <f>P10*in_debt_share_of_capex</f>
        <v/>
      </c>
      <c r="Q19" s="16">
        <f>Q10*in_debt_share_of_capex</f>
        <v/>
      </c>
      <c r="R19" s="16">
        <f>R10*in_debt_share_of_capex</f>
        <v/>
      </c>
    </row>
    <row r="20">
      <c r="A20" t="inlineStr">
        <is>
          <t>Debt, end of quarter</t>
        </is>
      </c>
      <c r="B20" t="inlineStr">
        <is>
          <t>USD m</t>
        </is>
      </c>
      <c r="C20" s="15" t="n">
        <v>6.2</v>
      </c>
      <c r="D20" s="15" t="n">
        <v>986.2</v>
      </c>
      <c r="E20" s="15" t="n">
        <v>4106.8</v>
      </c>
      <c r="F20" s="15" t="n">
        <v>4127.7</v>
      </c>
      <c r="G20" s="15" t="n">
        <v>8450.4</v>
      </c>
      <c r="H20" s="15" t="n">
        <v>8545.700000000001</v>
      </c>
      <c r="I20" s="17">
        <f>H20+I19</f>
        <v/>
      </c>
      <c r="J20" s="17">
        <f>I20+J19</f>
        <v/>
      </c>
      <c r="K20" s="17">
        <f>J20+K19</f>
        <v/>
      </c>
      <c r="L20" s="17">
        <f>K20+L19</f>
        <v/>
      </c>
      <c r="M20" s="17">
        <f>L20+M19</f>
        <v/>
      </c>
      <c r="N20" s="17">
        <f>M20+N19</f>
        <v/>
      </c>
      <c r="O20" s="17">
        <f>N20+O19</f>
        <v/>
      </c>
      <c r="P20" s="17">
        <f>O20+P19</f>
        <v/>
      </c>
      <c r="Q20" s="17">
        <f>P20+Q19</f>
        <v/>
      </c>
      <c r="R20" s="17">
        <f>Q20+R19</f>
        <v/>
      </c>
    </row>
    <row r="21">
      <c r="A21" t="inlineStr">
        <is>
          <t>Equity raised and other investing and financing (plug to reported cash)</t>
        </is>
      </c>
      <c r="B21" t="inlineStr">
        <is>
          <t>USD m</t>
        </is>
      </c>
      <c r="C21" s="15" t="n">
        <v>-274.6999999999999</v>
      </c>
      <c r="D21" s="15" t="n">
        <v>-69.20000000000005</v>
      </c>
      <c r="E21" s="15" t="n">
        <v>1031</v>
      </c>
      <c r="F21" s="15" t="n">
        <v>84.10000000000014</v>
      </c>
      <c r="G21" s="15" t="n">
        <v>1512.3</v>
      </c>
      <c r="H21" s="15" t="n">
        <v>2059.899999999998</v>
      </c>
      <c r="I21" s="15" t="n">
        <v>0</v>
      </c>
      <c r="J21" s="15" t="n">
        <v>0</v>
      </c>
      <c r="K21" s="15" t="n">
        <v>0</v>
      </c>
      <c r="L21" s="15" t="n">
        <v>0</v>
      </c>
      <c r="M21" s="15" t="n">
        <v>0</v>
      </c>
      <c r="N21" s="15" t="n">
        <v>0</v>
      </c>
      <c r="O21" s="15" t="n">
        <v>0</v>
      </c>
      <c r="P21" s="15" t="n">
        <v>0</v>
      </c>
      <c r="Q21" s="15" t="n">
        <v>0</v>
      </c>
      <c r="R21" s="15" t="n">
        <v>0</v>
      </c>
    </row>
    <row r="22">
      <c r="A22" t="inlineStr">
        <is>
          <t>External funding required to hold minimum cash (equity-like, no interest)</t>
        </is>
      </c>
      <c r="B22" t="inlineStr">
        <is>
          <t>USD m</t>
        </is>
      </c>
      <c r="C22" s="15" t="n">
        <v>0</v>
      </c>
      <c r="D22" s="15" t="n">
        <v>0</v>
      </c>
      <c r="E22" s="15" t="n">
        <v>0</v>
      </c>
      <c r="F22" s="15" t="n">
        <v>0</v>
      </c>
      <c r="G22" s="15" t="n">
        <v>0</v>
      </c>
      <c r="H22" s="15" t="n">
        <v>0</v>
      </c>
      <c r="I22" s="16">
        <f>MAX(0,in_minimum_cash_usd_bn*1000-(H23+I18-I10+I19+I21))</f>
        <v/>
      </c>
      <c r="J22" s="16">
        <f>MAX(0,in_minimum_cash_usd_bn*1000-(I23+J18-J10+J19+J21))</f>
        <v/>
      </c>
      <c r="K22" s="16">
        <f>MAX(0,in_minimum_cash_usd_bn*1000-(J23+K18-K10+K19+K21))</f>
        <v/>
      </c>
      <c r="L22" s="16">
        <f>MAX(0,in_minimum_cash_usd_bn*1000-(K23+L18-L10+L19+L21))</f>
        <v/>
      </c>
      <c r="M22" s="16">
        <f>MAX(0,in_minimum_cash_usd_bn*1000-(L23+M18-M10+M19+M21))</f>
        <v/>
      </c>
      <c r="N22" s="16">
        <f>MAX(0,in_minimum_cash_usd_bn*1000-(M23+N18-N10+N19+N21))</f>
        <v/>
      </c>
      <c r="O22" s="16">
        <f>MAX(0,in_minimum_cash_usd_bn*1000-(N23+O18-O10+O19+O21))</f>
        <v/>
      </c>
      <c r="P22" s="16">
        <f>MAX(0,in_minimum_cash_usd_bn*1000-(O23+P18-P10+P19+P21))</f>
        <v/>
      </c>
      <c r="Q22" s="16">
        <f>MAX(0,in_minimum_cash_usd_bn*1000-(P23+Q18-Q10+Q19+Q21))</f>
        <v/>
      </c>
      <c r="R22" s="16">
        <f>MAX(0,in_minimum_cash_usd_bn*1000-(Q23+R18-R10+R19+R21))</f>
        <v/>
      </c>
    </row>
    <row r="23">
      <c r="A23" t="inlineStr">
        <is>
          <t>Cash and cash equivalents, end of quarter</t>
        </is>
      </c>
      <c r="B23" t="inlineStr">
        <is>
          <t>USD m</t>
        </is>
      </c>
      <c r="C23" s="15" t="n">
        <v>1447</v>
      </c>
      <c r="D23" s="15" t="n">
        <v>1679.3</v>
      </c>
      <c r="E23" s="15" t="n">
        <v>4794.8</v>
      </c>
      <c r="F23" s="15" t="n">
        <v>3678.1</v>
      </c>
      <c r="G23" s="15" t="n">
        <v>9298.200000000001</v>
      </c>
      <c r="H23" s="15" t="n">
        <v>8042.1</v>
      </c>
      <c r="I23" s="17">
        <f>H23+I18-I10+I19+I21+I22</f>
        <v/>
      </c>
      <c r="J23" s="17">
        <f>I23+J18-J10+J19+J21+J22</f>
        <v/>
      </c>
      <c r="K23" s="17">
        <f>J23+K18-K10+K19+K21+K22</f>
        <v/>
      </c>
      <c r="L23" s="17">
        <f>K23+L18-L10+L19+L21+L22</f>
        <v/>
      </c>
      <c r="M23" s="17">
        <f>L23+M18-M10+M19+M21+M22</f>
        <v/>
      </c>
      <c r="N23" s="17">
        <f>M23+N18-N10+N19+N21+N22</f>
        <v/>
      </c>
      <c r="O23" s="17">
        <f>N23+O18-O10+O19+O21+O22</f>
        <v/>
      </c>
      <c r="P23" s="17">
        <f>O23+P18-P10+P19+P21+P22</f>
        <v/>
      </c>
      <c r="Q23" s="17">
        <f>P23+Q18-Q10+Q19+Q21+Q22</f>
        <v/>
      </c>
      <c r="R23" s="17">
        <f>Q23+R18-R10+R19+R21+R22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10" t="inlineStr">
        <is>
          <t>Line item</t>
        </is>
      </c>
      <c r="B1" s="10" t="inlineStr">
        <is>
          <t>Unit</t>
        </is>
      </c>
      <c r="C1" s="12" t="inlineStr">
        <is>
          <t>2025Q1A</t>
        </is>
      </c>
      <c r="D1" s="12" t="inlineStr">
        <is>
          <t>2025Q2A</t>
        </is>
      </c>
      <c r="E1" s="12" t="inlineStr">
        <is>
          <t>2025Q3A</t>
        </is>
      </c>
      <c r="F1" s="12" t="inlineStr">
        <is>
          <t>2025Q4A</t>
        </is>
      </c>
      <c r="G1" s="12" t="inlineStr">
        <is>
          <t>2026Q1A</t>
        </is>
      </c>
      <c r="H1" s="12" t="inlineStr">
        <is>
          <t>2026Q2A</t>
        </is>
      </c>
      <c r="I1" s="12" t="inlineStr">
        <is>
          <t>2026Q3E</t>
        </is>
      </c>
      <c r="J1" s="12" t="inlineStr">
        <is>
          <t>2026Q4E</t>
        </is>
      </c>
      <c r="K1" s="12" t="inlineStr">
        <is>
          <t>2027Q1E</t>
        </is>
      </c>
      <c r="L1" s="12" t="inlineStr">
        <is>
          <t>2027Q2E</t>
        </is>
      </c>
      <c r="M1" s="12" t="inlineStr">
        <is>
          <t>2027Q3E</t>
        </is>
      </c>
      <c r="N1" s="12" t="inlineStr">
        <is>
          <t>2027Q4E</t>
        </is>
      </c>
      <c r="O1" s="12" t="inlineStr">
        <is>
          <t>2028Q1E</t>
        </is>
      </c>
      <c r="P1" s="12" t="inlineStr">
        <is>
          <t>2028Q2E</t>
        </is>
      </c>
      <c r="Q1" s="12" t="inlineStr">
        <is>
          <t>2028Q3E</t>
        </is>
      </c>
      <c r="R1" s="12" t="inlineStr">
        <is>
          <t>2028Q4E</t>
        </is>
      </c>
    </row>
    <row r="2">
      <c r="A2" t="inlineStr">
        <is>
          <t>Revenue growth, quarter on quarter</t>
        </is>
      </c>
      <c r="B2" t="inlineStr">
        <is>
          <t>%</t>
        </is>
      </c>
      <c r="C2" s="18" t="n">
        <v>3.850877192982455</v>
      </c>
      <c r="D2" s="19">
        <f>Drivers!D8/Drivers!C8-1</f>
        <v/>
      </c>
      <c r="E2" s="19">
        <f>Drivers!E8/Drivers!D8-1</f>
        <v/>
      </c>
      <c r="F2" s="19">
        <f>Drivers!F8/Drivers!E8-1</f>
        <v/>
      </c>
      <c r="G2" s="19">
        <f>Drivers!G8/Drivers!F8-1</f>
        <v/>
      </c>
      <c r="H2" s="19">
        <f>Drivers!H8/Drivers!G8-1</f>
        <v/>
      </c>
      <c r="I2" s="19">
        <f>Drivers!I8/Drivers!H8-1</f>
        <v/>
      </c>
      <c r="J2" s="19">
        <f>Drivers!J8/Drivers!I8-1</f>
        <v/>
      </c>
      <c r="K2" s="19">
        <f>Drivers!K8/Drivers!J8-1</f>
        <v/>
      </c>
      <c r="L2" s="19">
        <f>Drivers!L8/Drivers!K8-1</f>
        <v/>
      </c>
      <c r="M2" s="19">
        <f>Drivers!M8/Drivers!L8-1</f>
        <v/>
      </c>
      <c r="N2" s="19">
        <f>Drivers!N8/Drivers!M8-1</f>
        <v/>
      </c>
      <c r="O2" s="19">
        <f>Drivers!O8/Drivers!N8-1</f>
        <v/>
      </c>
      <c r="P2" s="19">
        <f>Drivers!P8/Drivers!O8-1</f>
        <v/>
      </c>
      <c r="Q2" s="19">
        <f>Drivers!Q8/Drivers!P8-1</f>
        <v/>
      </c>
      <c r="R2" s="19">
        <f>Drivers!R8/Drivers!Q8-1</f>
        <v/>
      </c>
    </row>
    <row r="3">
      <c r="A3" t="inlineStr">
        <is>
          <t>Adjusted EBITDA margin</t>
        </is>
      </c>
      <c r="B3" t="inlineStr">
        <is>
          <t>%</t>
        </is>
      </c>
      <c r="C3" s="19">
        <f>Drivers!C9/Drivers!C8</f>
        <v/>
      </c>
      <c r="D3" s="19">
        <f>Drivers!D9/Drivers!D8</f>
        <v/>
      </c>
      <c r="E3" s="19">
        <f>Drivers!E9/Drivers!E8</f>
        <v/>
      </c>
      <c r="F3" s="19">
        <f>Drivers!F9/Drivers!F8</f>
        <v/>
      </c>
      <c r="G3" s="19">
        <f>Drivers!G9/Drivers!G8</f>
        <v/>
      </c>
      <c r="H3" s="19">
        <f>Drivers!H9/Drivers!H8</f>
        <v/>
      </c>
      <c r="I3" s="19">
        <f>Drivers!I9/Drivers!I8</f>
        <v/>
      </c>
      <c r="J3" s="19">
        <f>Drivers!J9/Drivers!J8</f>
        <v/>
      </c>
      <c r="K3" s="19">
        <f>Drivers!K9/Drivers!K8</f>
        <v/>
      </c>
      <c r="L3" s="19">
        <f>Drivers!L9/Drivers!L8</f>
        <v/>
      </c>
      <c r="M3" s="19">
        <f>Drivers!M9/Drivers!M8</f>
        <v/>
      </c>
      <c r="N3" s="19">
        <f>Drivers!N9/Drivers!N8</f>
        <v/>
      </c>
      <c r="O3" s="19">
        <f>Drivers!O9/Drivers!O8</f>
        <v/>
      </c>
      <c r="P3" s="19">
        <f>Drivers!P9/Drivers!P8</f>
        <v/>
      </c>
      <c r="Q3" s="19">
        <f>Drivers!Q9/Drivers!Q8</f>
        <v/>
      </c>
      <c r="R3" s="19">
        <f>Drivers!R9/Drivers!R8</f>
        <v/>
      </c>
    </row>
    <row r="4">
      <c r="A4" t="inlineStr">
        <is>
          <t>AI cloud share of group revenue</t>
        </is>
      </c>
      <c r="B4" t="inlineStr">
        <is>
          <t>%</t>
        </is>
      </c>
      <c r="C4" s="19">
        <f>Drivers!C7/Drivers!C8</f>
        <v/>
      </c>
      <c r="D4" s="19">
        <f>Drivers!D7/Drivers!D8</f>
        <v/>
      </c>
      <c r="E4" s="19">
        <f>Drivers!E7/Drivers!E8</f>
        <v/>
      </c>
      <c r="F4" s="19">
        <f>Drivers!F7/Drivers!F8</f>
        <v/>
      </c>
      <c r="G4" s="19">
        <f>Drivers!G7/Drivers!G8</f>
        <v/>
      </c>
      <c r="H4" s="19">
        <f>Drivers!H7/Drivers!H8</f>
        <v/>
      </c>
      <c r="I4" s="19">
        <f>Drivers!I7/Drivers!I8</f>
        <v/>
      </c>
      <c r="J4" s="19">
        <f>Drivers!J7/Drivers!J8</f>
        <v/>
      </c>
      <c r="K4" s="19">
        <f>Drivers!K7/Drivers!K8</f>
        <v/>
      </c>
      <c r="L4" s="19">
        <f>Drivers!L7/Drivers!L8</f>
        <v/>
      </c>
      <c r="M4" s="19">
        <f>Drivers!M7/Drivers!M8</f>
        <v/>
      </c>
      <c r="N4" s="19">
        <f>Drivers!N7/Drivers!N8</f>
        <v/>
      </c>
      <c r="O4" s="19">
        <f>Drivers!O7/Drivers!O8</f>
        <v/>
      </c>
      <c r="P4" s="19">
        <f>Drivers!P7/Drivers!P8</f>
        <v/>
      </c>
      <c r="Q4" s="19">
        <f>Drivers!Q7/Drivers!Q8</f>
        <v/>
      </c>
      <c r="R4" s="19">
        <f>Drivers!R7/Drivers!R8</f>
        <v/>
      </c>
    </row>
    <row r="5">
      <c r="A5" t="inlineStr">
        <is>
          <t>AI cloud revenue / one quarter of average ARR (calibration)</t>
        </is>
      </c>
      <c r="B5" t="inlineStr">
        <is>
          <t>ratio</t>
        </is>
      </c>
      <c r="C5" s="13" t="n"/>
      <c r="D5" s="20">
        <f>Drivers!D7/((Drivers!C6+Drivers!D6)/8)</f>
        <v/>
      </c>
      <c r="E5" s="20">
        <f>Drivers!E7/((Drivers!D6+Drivers!E6)/8)</f>
        <v/>
      </c>
      <c r="F5" s="20">
        <f>Drivers!F7/((Drivers!E6+Drivers!F6)/8)</f>
        <v/>
      </c>
      <c r="G5" s="20">
        <f>Drivers!G7/((Drivers!F6+Drivers!G6)/8)</f>
        <v/>
      </c>
      <c r="H5" s="20">
        <f>Drivers!H7/((Drivers!G6+Drivers!H6)/8)</f>
        <v/>
      </c>
      <c r="I5" s="20">
        <f>Drivers!I7/((Drivers!H6+Drivers!I6)/8)</f>
        <v/>
      </c>
      <c r="J5" s="20">
        <f>Drivers!J7/((Drivers!I6+Drivers!J6)/8)</f>
        <v/>
      </c>
      <c r="K5" s="20">
        <f>Drivers!K7/((Drivers!J6+Drivers!K6)/8)</f>
        <v/>
      </c>
      <c r="L5" s="20">
        <f>Drivers!L7/((Drivers!K6+Drivers!L6)/8)</f>
        <v/>
      </c>
      <c r="M5" s="20">
        <f>Drivers!M7/((Drivers!L6+Drivers!M6)/8)</f>
        <v/>
      </c>
      <c r="N5" s="20">
        <f>Drivers!N7/((Drivers!M6+Drivers!N6)/8)</f>
        <v/>
      </c>
      <c r="O5" s="20">
        <f>Drivers!O7/((Drivers!N6+Drivers!O6)/8)</f>
        <v/>
      </c>
      <c r="P5" s="20">
        <f>Drivers!P7/((Drivers!O6+Drivers!P6)/8)</f>
        <v/>
      </c>
      <c r="Q5" s="20">
        <f>Drivers!Q7/((Drivers!P6+Drivers!Q6)/8)</f>
        <v/>
      </c>
      <c r="R5" s="20">
        <f>Drivers!R7/((Drivers!Q6+Drivers!R6)/8)</f>
        <v/>
      </c>
    </row>
    <row r="6">
      <c r="A6" t="inlineStr">
        <is>
          <t>ARR per active MW, fleet average</t>
        </is>
      </c>
      <c r="B6" t="inlineStr">
        <is>
          <t>USD m</t>
        </is>
      </c>
      <c r="C6" s="16">
        <f>Drivers!C6/Drivers!C3</f>
        <v/>
      </c>
      <c r="D6" s="16">
        <f>Drivers!D6/Drivers!D3</f>
        <v/>
      </c>
      <c r="E6" s="16">
        <f>Drivers!E6/Drivers!E3</f>
        <v/>
      </c>
      <c r="F6" s="16">
        <f>Drivers!F6/Drivers!F3</f>
        <v/>
      </c>
      <c r="G6" s="16">
        <f>Drivers!G6/Drivers!G3</f>
        <v/>
      </c>
      <c r="H6" s="16">
        <f>Drivers!H6/Drivers!H3</f>
        <v/>
      </c>
      <c r="I6" s="16">
        <f>Drivers!I6/Drivers!I3</f>
        <v/>
      </c>
      <c r="J6" s="16">
        <f>Drivers!J6/Drivers!J3</f>
        <v/>
      </c>
      <c r="K6" s="16">
        <f>Drivers!K6/Drivers!K3</f>
        <v/>
      </c>
      <c r="L6" s="16">
        <f>Drivers!L6/Drivers!L3</f>
        <v/>
      </c>
      <c r="M6" s="16">
        <f>Drivers!M6/Drivers!M3</f>
        <v/>
      </c>
      <c r="N6" s="16">
        <f>Drivers!N6/Drivers!N3</f>
        <v/>
      </c>
      <c r="O6" s="16">
        <f>Drivers!O6/Drivers!O3</f>
        <v/>
      </c>
      <c r="P6" s="16">
        <f>Drivers!P6/Drivers!P3</f>
        <v/>
      </c>
      <c r="Q6" s="16">
        <f>Drivers!Q6/Drivers!Q3</f>
        <v/>
      </c>
      <c r="R6" s="16">
        <f>Drivers!R6/Drivers!R3</f>
        <v/>
      </c>
    </row>
    <row r="7">
      <c r="A7" t="inlineStr">
        <is>
          <t>ARR guidance for end 2026, low</t>
        </is>
      </c>
      <c r="B7" t="inlineStr">
        <is>
          <t>USD m</t>
        </is>
      </c>
      <c r="C7" s="16">
        <f>in_arr_guidance_ye2026_low_usd_m</f>
        <v/>
      </c>
      <c r="D7" s="16">
        <f>in_arr_guidance_ye2026_low_usd_m</f>
        <v/>
      </c>
      <c r="E7" s="16">
        <f>in_arr_guidance_ye2026_low_usd_m</f>
        <v/>
      </c>
      <c r="F7" s="16">
        <f>in_arr_guidance_ye2026_low_usd_m</f>
        <v/>
      </c>
      <c r="G7" s="16">
        <f>in_arr_guidance_ye2026_low_usd_m</f>
        <v/>
      </c>
      <c r="H7" s="16">
        <f>in_arr_guidance_ye2026_low_usd_m</f>
        <v/>
      </c>
      <c r="I7" s="16">
        <f>in_arr_guidance_ye2026_low_usd_m</f>
        <v/>
      </c>
      <c r="J7" s="16">
        <f>in_arr_guidance_ye2026_low_usd_m</f>
        <v/>
      </c>
      <c r="K7" s="16">
        <f>in_arr_guidance_ye2026_low_usd_m</f>
        <v/>
      </c>
      <c r="L7" s="16">
        <f>in_arr_guidance_ye2026_low_usd_m</f>
        <v/>
      </c>
      <c r="M7" s="16">
        <f>in_arr_guidance_ye2026_low_usd_m</f>
        <v/>
      </c>
      <c r="N7" s="16">
        <f>in_arr_guidance_ye2026_low_usd_m</f>
        <v/>
      </c>
      <c r="O7" s="16">
        <f>in_arr_guidance_ye2026_low_usd_m</f>
        <v/>
      </c>
      <c r="P7" s="16">
        <f>in_arr_guidance_ye2026_low_usd_m</f>
        <v/>
      </c>
      <c r="Q7" s="16">
        <f>in_arr_guidance_ye2026_low_usd_m</f>
        <v/>
      </c>
      <c r="R7" s="16">
        <f>in_arr_guidance_ye2026_low_usd_m</f>
        <v/>
      </c>
    </row>
    <row r="8">
      <c r="A8" t="inlineStr">
        <is>
          <t>ARR guidance for end 2026, high</t>
        </is>
      </c>
      <c r="B8" t="inlineStr">
        <is>
          <t>USD m</t>
        </is>
      </c>
      <c r="C8" s="16">
        <f>in_arr_guidance_ye2026_high_usd_m</f>
        <v/>
      </c>
      <c r="D8" s="16">
        <f>in_arr_guidance_ye2026_high_usd_m</f>
        <v/>
      </c>
      <c r="E8" s="16">
        <f>in_arr_guidance_ye2026_high_usd_m</f>
        <v/>
      </c>
      <c r="F8" s="16">
        <f>in_arr_guidance_ye2026_high_usd_m</f>
        <v/>
      </c>
      <c r="G8" s="16">
        <f>in_arr_guidance_ye2026_high_usd_m</f>
        <v/>
      </c>
      <c r="H8" s="16">
        <f>in_arr_guidance_ye2026_high_usd_m</f>
        <v/>
      </c>
      <c r="I8" s="16">
        <f>in_arr_guidance_ye2026_high_usd_m</f>
        <v/>
      </c>
      <c r="J8" s="16">
        <f>in_arr_guidance_ye2026_high_usd_m</f>
        <v/>
      </c>
      <c r="K8" s="16">
        <f>in_arr_guidance_ye2026_high_usd_m</f>
        <v/>
      </c>
      <c r="L8" s="16">
        <f>in_arr_guidance_ye2026_high_usd_m</f>
        <v/>
      </c>
      <c r="M8" s="16">
        <f>in_arr_guidance_ye2026_high_usd_m</f>
        <v/>
      </c>
      <c r="N8" s="16">
        <f>in_arr_guidance_ye2026_high_usd_m</f>
        <v/>
      </c>
      <c r="O8" s="16">
        <f>in_arr_guidance_ye2026_high_usd_m</f>
        <v/>
      </c>
      <c r="P8" s="16">
        <f>in_arr_guidance_ye2026_high_usd_m</f>
        <v/>
      </c>
      <c r="Q8" s="16">
        <f>in_arr_guidance_ye2026_high_usd_m</f>
        <v/>
      </c>
      <c r="R8" s="16">
        <f>in_arr_guidance_ye2026_high_usd_m</f>
        <v/>
      </c>
    </row>
    <row r="9">
      <c r="A9" t="inlineStr">
        <is>
          <t>Revenue guidance for 2026, low (full year)</t>
        </is>
      </c>
      <c r="B9" t="inlineStr">
        <is>
          <t>USD m</t>
        </is>
      </c>
      <c r="C9" s="16">
        <f>in_revenue_guidance_2026_low_usd_m</f>
        <v/>
      </c>
      <c r="D9" s="16">
        <f>in_revenue_guidance_2026_low_usd_m</f>
        <v/>
      </c>
      <c r="E9" s="16">
        <f>in_revenue_guidance_2026_low_usd_m</f>
        <v/>
      </c>
      <c r="F9" s="16">
        <f>in_revenue_guidance_2026_low_usd_m</f>
        <v/>
      </c>
      <c r="G9" s="16">
        <f>in_revenue_guidance_2026_low_usd_m</f>
        <v/>
      </c>
      <c r="H9" s="16">
        <f>in_revenue_guidance_2026_low_usd_m</f>
        <v/>
      </c>
      <c r="I9" s="16">
        <f>in_revenue_guidance_2026_low_usd_m</f>
        <v/>
      </c>
      <c r="J9" s="16">
        <f>in_revenue_guidance_2026_low_usd_m</f>
        <v/>
      </c>
      <c r="K9" s="16">
        <f>in_revenue_guidance_2026_low_usd_m</f>
        <v/>
      </c>
      <c r="L9" s="16">
        <f>in_revenue_guidance_2026_low_usd_m</f>
        <v/>
      </c>
      <c r="M9" s="16">
        <f>in_revenue_guidance_2026_low_usd_m</f>
        <v/>
      </c>
      <c r="N9" s="16">
        <f>in_revenue_guidance_2026_low_usd_m</f>
        <v/>
      </c>
      <c r="O9" s="16">
        <f>in_revenue_guidance_2026_low_usd_m</f>
        <v/>
      </c>
      <c r="P9" s="16">
        <f>in_revenue_guidance_2026_low_usd_m</f>
        <v/>
      </c>
      <c r="Q9" s="16">
        <f>in_revenue_guidance_2026_low_usd_m</f>
        <v/>
      </c>
      <c r="R9" s="16">
        <f>in_revenue_guidance_2026_low_usd_m</f>
        <v/>
      </c>
    </row>
    <row r="10">
      <c r="A10" t="inlineStr">
        <is>
          <t>Revenue guidance for 2026, high (full year)</t>
        </is>
      </c>
      <c r="B10" t="inlineStr">
        <is>
          <t>USD m</t>
        </is>
      </c>
      <c r="C10" s="16">
        <f>in_revenue_guidance_2026_high_usd_m</f>
        <v/>
      </c>
      <c r="D10" s="16">
        <f>in_revenue_guidance_2026_high_usd_m</f>
        <v/>
      </c>
      <c r="E10" s="16">
        <f>in_revenue_guidance_2026_high_usd_m</f>
        <v/>
      </c>
      <c r="F10" s="16">
        <f>in_revenue_guidance_2026_high_usd_m</f>
        <v/>
      </c>
      <c r="G10" s="16">
        <f>in_revenue_guidance_2026_high_usd_m</f>
        <v/>
      </c>
      <c r="H10" s="16">
        <f>in_revenue_guidance_2026_high_usd_m</f>
        <v/>
      </c>
      <c r="I10" s="16">
        <f>in_revenue_guidance_2026_high_usd_m</f>
        <v/>
      </c>
      <c r="J10" s="16">
        <f>in_revenue_guidance_2026_high_usd_m</f>
        <v/>
      </c>
      <c r="K10" s="16">
        <f>in_revenue_guidance_2026_high_usd_m</f>
        <v/>
      </c>
      <c r="L10" s="16">
        <f>in_revenue_guidance_2026_high_usd_m</f>
        <v/>
      </c>
      <c r="M10" s="16">
        <f>in_revenue_guidance_2026_high_usd_m</f>
        <v/>
      </c>
      <c r="N10" s="16">
        <f>in_revenue_guidance_2026_high_usd_m</f>
        <v/>
      </c>
      <c r="O10" s="16">
        <f>in_revenue_guidance_2026_high_usd_m</f>
        <v/>
      </c>
      <c r="P10" s="16">
        <f>in_revenue_guidance_2026_high_usd_m</f>
        <v/>
      </c>
      <c r="Q10" s="16">
        <f>in_revenue_guidance_2026_high_usd_m</f>
        <v/>
      </c>
      <c r="R10" s="16">
        <f>in_revenue_guidance_2026_high_usd_m</f>
        <v/>
      </c>
    </row>
    <row r="11">
      <c r="A11" t="inlineStr">
        <is>
          <t>Adjusted EBITDA per average active MW, annualised</t>
        </is>
      </c>
      <c r="B11" t="inlineStr">
        <is>
          <t>USD m</t>
        </is>
      </c>
      <c r="C11" s="15" t="n"/>
      <c r="D11" s="15" t="n"/>
      <c r="E11" s="15" t="n"/>
      <c r="F11" s="15" t="n"/>
      <c r="G11" s="15" t="n"/>
      <c r="H11" s="15" t="n"/>
      <c r="I11" s="16">
        <f>Drivers!I9*4/Drivers!I5</f>
        <v/>
      </c>
      <c r="J11" s="16">
        <f>Drivers!J9*4/Drivers!J5</f>
        <v/>
      </c>
      <c r="K11" s="16">
        <f>Drivers!K9*4/Drivers!K5</f>
        <v/>
      </c>
      <c r="L11" s="16">
        <f>Drivers!L9*4/Drivers!L5</f>
        <v/>
      </c>
      <c r="M11" s="16">
        <f>Drivers!M9*4/Drivers!M5</f>
        <v/>
      </c>
      <c r="N11" s="16">
        <f>Drivers!N9*4/Drivers!N5</f>
        <v/>
      </c>
      <c r="O11" s="16">
        <f>Drivers!O9*4/Drivers!O5</f>
        <v/>
      </c>
      <c r="P11" s="16">
        <f>Drivers!P9*4/Drivers!P5</f>
        <v/>
      </c>
      <c r="Q11" s="16">
        <f>Drivers!Q9*4/Drivers!Q5</f>
        <v/>
      </c>
      <c r="R11" s="16">
        <f>Drivers!R9*4/Drivers!R5</f>
        <v/>
      </c>
    </row>
    <row r="12">
      <c r="A12" t="inlineStr">
        <is>
          <t>Payback per new MW: capex per MW / EBITDA per MW</t>
        </is>
      </c>
      <c r="B12" t="inlineStr">
        <is>
          <t>years</t>
        </is>
      </c>
      <c r="C12" s="13" t="n"/>
      <c r="D12" s="13" t="n"/>
      <c r="E12" s="13" t="n"/>
      <c r="F12" s="13" t="n"/>
      <c r="G12" s="13" t="n"/>
      <c r="H12" s="13" t="n"/>
      <c r="I12" s="20">
        <f>in_capex_per_mw_usd_m/I11</f>
        <v/>
      </c>
      <c r="J12" s="20">
        <f>in_capex_per_mw_usd_m/J11</f>
        <v/>
      </c>
      <c r="K12" s="20">
        <f>in_capex_per_mw_usd_m/K11</f>
        <v/>
      </c>
      <c r="L12" s="20">
        <f>in_capex_per_mw_usd_m/L11</f>
        <v/>
      </c>
      <c r="M12" s="20">
        <f>in_capex_per_mw_usd_m/M11</f>
        <v/>
      </c>
      <c r="N12" s="20">
        <f>in_capex_per_mw_usd_m/N11</f>
        <v/>
      </c>
      <c r="O12" s="20">
        <f>in_capex_per_mw_usd_m/O11</f>
        <v/>
      </c>
      <c r="P12" s="20">
        <f>in_capex_per_mw_usd_m/P11</f>
        <v/>
      </c>
      <c r="Q12" s="20">
        <f>in_capex_per_mw_usd_m/Q11</f>
        <v/>
      </c>
      <c r="R12" s="20">
        <f>in_capex_per_mw_usd_m/R11</f>
        <v/>
      </c>
    </row>
    <row r="13">
      <c r="A13" t="inlineStr">
        <is>
          <t>Payback per new MW, net of the customer prepayment</t>
        </is>
      </c>
      <c r="B13" t="inlineStr">
        <is>
          <t>years</t>
        </is>
      </c>
      <c r="C13" s="13" t="n"/>
      <c r="D13" s="13" t="n"/>
      <c r="E13" s="13" t="n"/>
      <c r="F13" s="13" t="n"/>
      <c r="G13" s="13" t="n"/>
      <c r="H13" s="13" t="n"/>
      <c r="I13" s="20">
        <f>in_capex_per_mw_usd_m*(1-in_prepayment_share_of_capex)/I11</f>
        <v/>
      </c>
      <c r="J13" s="20">
        <f>in_capex_per_mw_usd_m*(1-in_prepayment_share_of_capex)/J11</f>
        <v/>
      </c>
      <c r="K13" s="20">
        <f>in_capex_per_mw_usd_m*(1-in_prepayment_share_of_capex)/K11</f>
        <v/>
      </c>
      <c r="L13" s="20">
        <f>in_capex_per_mw_usd_m*(1-in_prepayment_share_of_capex)/L11</f>
        <v/>
      </c>
      <c r="M13" s="20">
        <f>in_capex_per_mw_usd_m*(1-in_prepayment_share_of_capex)/M11</f>
        <v/>
      </c>
      <c r="N13" s="20">
        <f>in_capex_per_mw_usd_m*(1-in_prepayment_share_of_capex)/N11</f>
        <v/>
      </c>
      <c r="O13" s="20">
        <f>in_capex_per_mw_usd_m*(1-in_prepayment_share_of_capex)/O11</f>
        <v/>
      </c>
      <c r="P13" s="20">
        <f>in_capex_per_mw_usd_m*(1-in_prepayment_share_of_capex)/P11</f>
        <v/>
      </c>
      <c r="Q13" s="20">
        <f>in_capex_per_mw_usd_m*(1-in_prepayment_share_of_capex)/Q11</f>
        <v/>
      </c>
      <c r="R13" s="20">
        <f>in_capex_per_mw_usd_m*(1-in_prepayment_share_of_capex)/R11</f>
        <v/>
      </c>
    </row>
    <row r="14">
      <c r="A14" t="inlineStr">
        <is>
          <t>Payback, as disclosed by the company (Q2 2026 deals)</t>
        </is>
      </c>
      <c r="B14" t="inlineStr">
        <is>
          <t>years</t>
        </is>
      </c>
      <c r="C14" s="20">
        <f>in_disclosed_payback_months/12</f>
        <v/>
      </c>
      <c r="D14" s="20">
        <f>in_disclosed_payback_months/12</f>
        <v/>
      </c>
      <c r="E14" s="20">
        <f>in_disclosed_payback_months/12</f>
        <v/>
      </c>
      <c r="F14" s="20">
        <f>in_disclosed_payback_months/12</f>
        <v/>
      </c>
      <c r="G14" s="20">
        <f>in_disclosed_payback_months/12</f>
        <v/>
      </c>
      <c r="H14" s="20">
        <f>in_disclosed_payback_months/12</f>
        <v/>
      </c>
      <c r="I14" s="20">
        <f>in_disclosed_payback_months/12</f>
        <v/>
      </c>
      <c r="J14" s="20">
        <f>in_disclosed_payback_months/12</f>
        <v/>
      </c>
      <c r="K14" s="20">
        <f>in_disclosed_payback_months/12</f>
        <v/>
      </c>
      <c r="L14" s="20">
        <f>in_disclosed_payback_months/12</f>
        <v/>
      </c>
      <c r="M14" s="20">
        <f>in_disclosed_payback_months/12</f>
        <v/>
      </c>
      <c r="N14" s="20">
        <f>in_disclosed_payback_months/12</f>
        <v/>
      </c>
      <c r="O14" s="20">
        <f>in_disclosed_payback_months/12</f>
        <v/>
      </c>
      <c r="P14" s="20">
        <f>in_disclosed_payback_months/12</f>
        <v/>
      </c>
      <c r="Q14" s="20">
        <f>in_disclosed_payback_months/12</f>
        <v/>
      </c>
      <c r="R14" s="20">
        <f>in_disclosed_payback_months/12</f>
        <v/>
      </c>
    </row>
    <row r="15">
      <c r="A15" t="inlineStr">
        <is>
          <t>Prepayments / capex (actuals: change in deferred revenue / capex)</t>
        </is>
      </c>
      <c r="B15" t="inlineStr">
        <is>
          <t>%</t>
        </is>
      </c>
      <c r="C15" s="18" t="n">
        <v>0.00459643316786174</v>
      </c>
      <c r="D15" s="18" t="n">
        <v>0.0005875440658049368</v>
      </c>
      <c r="E15" s="18" t="n">
        <v>-0.003976975405546834</v>
      </c>
      <c r="F15" s="18" t="n">
        <v>0.7619163424124513</v>
      </c>
      <c r="G15" s="18" t="n">
        <v>1.293218488414412</v>
      </c>
      <c r="H15" s="18" t="n">
        <v>0.2115812917594655</v>
      </c>
      <c r="I15" s="19">
        <f>Drivers!I11/Drivers!I10</f>
        <v/>
      </c>
      <c r="J15" s="19">
        <f>Drivers!J11/Drivers!J10</f>
        <v/>
      </c>
      <c r="K15" s="19">
        <f>Drivers!K11/Drivers!K10</f>
        <v/>
      </c>
      <c r="L15" s="19">
        <f>Drivers!L11/Drivers!L10</f>
        <v/>
      </c>
      <c r="M15" s="19">
        <f>Drivers!M11/Drivers!M10</f>
        <v/>
      </c>
      <c r="N15" s="19">
        <f>Drivers!N11/Drivers!N10</f>
        <v/>
      </c>
      <c r="O15" s="19">
        <f>Drivers!O11/Drivers!O10</f>
        <v/>
      </c>
      <c r="P15" s="19">
        <f>Drivers!P11/Drivers!P10</f>
        <v/>
      </c>
      <c r="Q15" s="19">
        <f>Drivers!Q11/Drivers!Q10</f>
        <v/>
      </c>
      <c r="R15" s="19">
        <f>Drivers!R11/Drivers!R10</f>
        <v/>
      </c>
    </row>
    <row r="16">
      <c r="A16" t="inlineStr">
        <is>
          <t>Free cash flow (CFO less capex)</t>
        </is>
      </c>
      <c r="B16" t="inlineStr">
        <is>
          <t>USD m</t>
        </is>
      </c>
      <c r="C16" s="16">
        <f>Drivers!C18-Drivers!C10</f>
        <v/>
      </c>
      <c r="D16" s="16">
        <f>Drivers!D18-Drivers!D10</f>
        <v/>
      </c>
      <c r="E16" s="16">
        <f>Drivers!E18-Drivers!E10</f>
        <v/>
      </c>
      <c r="F16" s="16">
        <f>Drivers!F18-Drivers!F10</f>
        <v/>
      </c>
      <c r="G16" s="16">
        <f>Drivers!G18-Drivers!G10</f>
        <v/>
      </c>
      <c r="H16" s="16">
        <f>Drivers!H18-Drivers!H10</f>
        <v/>
      </c>
      <c r="I16" s="16">
        <f>Drivers!I18-Drivers!I10</f>
        <v/>
      </c>
      <c r="J16" s="16">
        <f>Drivers!J18-Drivers!J10</f>
        <v/>
      </c>
      <c r="K16" s="16">
        <f>Drivers!K18-Drivers!K10</f>
        <v/>
      </c>
      <c r="L16" s="16">
        <f>Drivers!L18-Drivers!L10</f>
        <v/>
      </c>
      <c r="M16" s="16">
        <f>Drivers!M18-Drivers!M10</f>
        <v/>
      </c>
      <c r="N16" s="16">
        <f>Drivers!N18-Drivers!N10</f>
        <v/>
      </c>
      <c r="O16" s="16">
        <f>Drivers!O18-Drivers!O10</f>
        <v/>
      </c>
      <c r="P16" s="16">
        <f>Drivers!P18-Drivers!P10</f>
        <v/>
      </c>
      <c r="Q16" s="16">
        <f>Drivers!Q18-Drivers!Q10</f>
        <v/>
      </c>
      <c r="R16" s="16">
        <f>Drivers!R18-Drivers!R10</f>
        <v/>
      </c>
    </row>
    <row r="17">
      <c r="A17" t="inlineStr">
        <is>
          <t>Net debt (negative is net cash)</t>
        </is>
      </c>
      <c r="B17" t="inlineStr">
        <is>
          <t>USD m</t>
        </is>
      </c>
      <c r="C17" s="16">
        <f>Drivers!C20-Drivers!C23</f>
        <v/>
      </c>
      <c r="D17" s="16">
        <f>Drivers!D20-Drivers!D23</f>
        <v/>
      </c>
      <c r="E17" s="16">
        <f>Drivers!E20-Drivers!E23</f>
        <v/>
      </c>
      <c r="F17" s="16">
        <f>Drivers!F20-Drivers!F23</f>
        <v/>
      </c>
      <c r="G17" s="16">
        <f>Drivers!G20-Drivers!G23</f>
        <v/>
      </c>
      <c r="H17" s="16">
        <f>Drivers!H20-Drivers!H23</f>
        <v/>
      </c>
      <c r="I17" s="16">
        <f>Drivers!I20-Drivers!I23</f>
        <v/>
      </c>
      <c r="J17" s="16">
        <f>Drivers!J20-Drivers!J23</f>
        <v/>
      </c>
      <c r="K17" s="16">
        <f>Drivers!K20-Drivers!K23</f>
        <v/>
      </c>
      <c r="L17" s="16">
        <f>Drivers!L20-Drivers!L23</f>
        <v/>
      </c>
      <c r="M17" s="16">
        <f>Drivers!M20-Drivers!M23</f>
        <v/>
      </c>
      <c r="N17" s="16">
        <f>Drivers!N20-Drivers!N23</f>
        <v/>
      </c>
      <c r="O17" s="16">
        <f>Drivers!O20-Drivers!O23</f>
        <v/>
      </c>
      <c r="P17" s="16">
        <f>Drivers!P20-Drivers!P23</f>
        <v/>
      </c>
      <c r="Q17" s="16">
        <f>Drivers!Q20-Drivers!Q23</f>
        <v/>
      </c>
      <c r="R17" s="16">
        <f>Drivers!R20-Drivers!R23</f>
        <v/>
      </c>
    </row>
    <row r="18">
      <c r="A18" t="inlineStr">
        <is>
          <t>Net debt / annualised adjusted EBITDA</t>
        </is>
      </c>
      <c r="B18" t="inlineStr">
        <is>
          <t>x</t>
        </is>
      </c>
      <c r="C18" s="20">
        <f>C17/(Drivers!C9*4)</f>
        <v/>
      </c>
      <c r="D18" s="20">
        <f>D17/(Drivers!D9*4)</f>
        <v/>
      </c>
      <c r="E18" s="20">
        <f>E17/(Drivers!E9*4)</f>
        <v/>
      </c>
      <c r="F18" s="20">
        <f>F17/(Drivers!F9*4)</f>
        <v/>
      </c>
      <c r="G18" s="20">
        <f>G17/(Drivers!G9*4)</f>
        <v/>
      </c>
      <c r="H18" s="20">
        <f>H17/(Drivers!H9*4)</f>
        <v/>
      </c>
      <c r="I18" s="20">
        <f>I17/(Drivers!I9*4)</f>
        <v/>
      </c>
      <c r="J18" s="20">
        <f>J17/(Drivers!J9*4)</f>
        <v/>
      </c>
      <c r="K18" s="20">
        <f>K17/(Drivers!K9*4)</f>
        <v/>
      </c>
      <c r="L18" s="20">
        <f>L17/(Drivers!L9*4)</f>
        <v/>
      </c>
      <c r="M18" s="20">
        <f>M17/(Drivers!M9*4)</f>
        <v/>
      </c>
      <c r="N18" s="20">
        <f>N17/(Drivers!N9*4)</f>
        <v/>
      </c>
      <c r="O18" s="20">
        <f>O17/(Drivers!O9*4)</f>
        <v/>
      </c>
      <c r="P18" s="20">
        <f>P17/(Drivers!P9*4)</f>
        <v/>
      </c>
      <c r="Q18" s="20">
        <f>Q17/(Drivers!Q9*4)</f>
        <v/>
      </c>
      <c r="R18" s="20">
        <f>R17/(Drivers!R9*4)</f>
        <v/>
      </c>
    </row>
    <row r="19">
      <c r="A19" t="inlineStr">
        <is>
          <t>External funding required, cumulative over estimate quarters</t>
        </is>
      </c>
      <c r="B19" t="inlineStr">
        <is>
          <t>USD m</t>
        </is>
      </c>
      <c r="C19" s="15" t="n">
        <v>0</v>
      </c>
      <c r="D19" s="16">
        <f>C19+Drivers!D22</f>
        <v/>
      </c>
      <c r="E19" s="16">
        <f>D19+Drivers!E22</f>
        <v/>
      </c>
      <c r="F19" s="16">
        <f>E19+Drivers!F22</f>
        <v/>
      </c>
      <c r="G19" s="16">
        <f>F19+Drivers!G22</f>
        <v/>
      </c>
      <c r="H19" s="16">
        <f>G19+Drivers!H22</f>
        <v/>
      </c>
      <c r="I19" s="16">
        <f>H19+Drivers!I22</f>
        <v/>
      </c>
      <c r="J19" s="16">
        <f>I19+Drivers!J22</f>
        <v/>
      </c>
      <c r="K19" s="16">
        <f>J19+Drivers!K22</f>
        <v/>
      </c>
      <c r="L19" s="16">
        <f>K19+Drivers!L22</f>
        <v/>
      </c>
      <c r="M19" s="16">
        <f>L19+Drivers!M22</f>
        <v/>
      </c>
      <c r="N19" s="16">
        <f>M19+Drivers!N22</f>
        <v/>
      </c>
      <c r="O19" s="16">
        <f>N19+Drivers!O22</f>
        <v/>
      </c>
      <c r="P19" s="16">
        <f>O19+Drivers!P22</f>
        <v/>
      </c>
      <c r="Q19" s="16">
        <f>P19+Drivers!Q22</f>
        <v/>
      </c>
      <c r="R19" s="16">
        <f>Q19+Drivers!R22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0" t="inlineStr">
        <is>
          <t>period</t>
        </is>
      </c>
      <c r="B1" s="10" t="inlineStr">
        <is>
          <t>kpi</t>
        </is>
      </c>
      <c r="C1" s="10" t="inlineStr">
        <is>
          <t>value</t>
        </is>
      </c>
      <c r="D1" s="10" t="inlineStr">
        <is>
          <t>unit</t>
        </is>
      </c>
      <c r="E1" s="10" t="inlineStr">
        <is>
          <t>qualifier</t>
        </is>
      </c>
      <c r="F1" s="10" t="inlineStr">
        <is>
          <t>form</t>
        </is>
      </c>
      <c r="G1" s="10" t="inlineStr">
        <is>
          <t>filed</t>
        </is>
      </c>
      <c r="H1" s="10" t="inlineStr">
        <is>
          <t>accession</t>
        </is>
      </c>
      <c r="I1" s="10" t="inlineStr">
        <is>
          <t>page</t>
        </is>
      </c>
      <c r="J1" s="10" t="inlineStr">
        <is>
          <t>url</t>
        </is>
      </c>
    </row>
    <row r="2">
      <c r="A2" t="inlineStr">
        <is>
          <t>2025Q4</t>
        </is>
      </c>
      <c r="B2" t="inlineStr">
        <is>
          <t>active_power_mw</t>
        </is>
      </c>
      <c r="C2" t="n">
        <v>170</v>
      </c>
      <c r="D2" t="inlineStr">
        <is>
          <t>MW</t>
        </is>
      </c>
      <c r="E2" t="inlineStr">
        <is>
          <t>approximately</t>
        </is>
      </c>
      <c r="F2" t="inlineStr">
        <is>
          <t>6-K EX-99.2</t>
        </is>
      </c>
      <c r="G2" t="inlineStr">
        <is>
          <t>2026-02-12</t>
        </is>
      </c>
      <c r="H2" t="inlineStr">
        <is>
          <t>0001104659-26-013946</t>
        </is>
      </c>
      <c r="I2" t="inlineStr"/>
      <c r="J2" t="inlineStr">
        <is>
          <t>https://www.sec.gov/Archives/edgar/data/1513845/000110465926013946/tm266173d1_ex99-2.htm</t>
        </is>
      </c>
    </row>
    <row r="3">
      <c r="A3" t="inlineStr">
        <is>
          <t>2025Q3</t>
        </is>
      </c>
      <c r="B3" t="inlineStr">
        <is>
          <t>active_power_target_ye2025_mw</t>
        </is>
      </c>
      <c r="C3" t="n">
        <v>100</v>
      </c>
      <c r="D3" t="inlineStr">
        <is>
          <t>MW</t>
        </is>
      </c>
      <c r="E3" t="inlineStr">
        <is>
          <t>target</t>
        </is>
      </c>
      <c r="F3" t="inlineStr">
        <is>
          <t>6-K EX-99.2</t>
        </is>
      </c>
      <c r="G3" t="inlineStr">
        <is>
          <t>2025-11-12</t>
        </is>
      </c>
      <c r="H3" t="inlineStr">
        <is>
          <t>0001104659-25-109806</t>
        </is>
      </c>
      <c r="I3" t="inlineStr"/>
      <c r="J3" t="inlineStr">
        <is>
          <t>https://www.sec.gov/Archives/edgar/data/1513845/000110465925109806/tm2530882d1_ex99-2.htm</t>
        </is>
      </c>
    </row>
    <row r="4">
      <c r="A4" t="inlineStr">
        <is>
          <t>2025Q1</t>
        </is>
      </c>
      <c r="B4" t="inlineStr">
        <is>
          <t>adjusted_ebitda_usd_m</t>
        </is>
      </c>
      <c r="C4" t="n">
        <v>-62.6</v>
      </c>
      <c r="D4" t="inlineStr">
        <is>
          <t>USD m</t>
        </is>
      </c>
      <c r="E4" t="inlineStr"/>
      <c r="F4" t="inlineStr">
        <is>
          <t>6-K EX-99.1</t>
        </is>
      </c>
      <c r="G4" t="inlineStr">
        <is>
          <t>2025-05-20</t>
        </is>
      </c>
      <c r="H4" t="inlineStr">
        <is>
          <t>0001104659-25-050975</t>
        </is>
      </c>
      <c r="I4" t="inlineStr"/>
      <c r="J4" t="inlineStr">
        <is>
          <t>https://www.sec.gov/Archives/edgar/data/1513845/000110465925050975/tm2515580d1_ex99-1.htm</t>
        </is>
      </c>
    </row>
    <row r="5">
      <c r="A5" t="inlineStr">
        <is>
          <t>2025Q2</t>
        </is>
      </c>
      <c r="B5" t="inlineStr">
        <is>
          <t>adjusted_ebitda_usd_m</t>
        </is>
      </c>
      <c r="C5" t="n">
        <v>-21</v>
      </c>
      <c r="D5" t="inlineStr">
        <is>
          <t>USD m</t>
        </is>
      </c>
      <c r="E5" t="inlineStr"/>
      <c r="F5" t="inlineStr">
        <is>
          <t>6-K EX-99.1</t>
        </is>
      </c>
      <c r="G5" t="inlineStr">
        <is>
          <t>2025-08-07</t>
        </is>
      </c>
      <c r="H5" t="inlineStr">
        <is>
          <t>0001104659-25-075028</t>
        </is>
      </c>
      <c r="I5" t="inlineStr"/>
      <c r="J5" t="inlineStr">
        <is>
          <t>https://www.sec.gov/Archives/edgar/data/1513845/000110465925075028/tm2522866d1_ex99-1.htm</t>
        </is>
      </c>
    </row>
    <row r="6">
      <c r="A6" t="inlineStr">
        <is>
          <t>2025Q3</t>
        </is>
      </c>
      <c r="B6" t="inlineStr">
        <is>
          <t>adjusted_ebitda_usd_m</t>
        </is>
      </c>
      <c r="C6" t="n">
        <v>-5.2</v>
      </c>
      <c r="D6" t="inlineStr">
        <is>
          <t>USD m</t>
        </is>
      </c>
      <c r="E6" t="inlineStr"/>
      <c r="F6" t="inlineStr">
        <is>
          <t>6-K EX-99.1</t>
        </is>
      </c>
      <c r="G6" t="inlineStr">
        <is>
          <t>2025-11-12</t>
        </is>
      </c>
      <c r="H6" t="inlineStr">
        <is>
          <t>0001104659-25-109806</t>
        </is>
      </c>
      <c r="I6" t="inlineStr"/>
      <c r="J6" t="inlineStr">
        <is>
          <t>https://www.sec.gov/Archives/edgar/data/1513845/000110465925109806/tm2530882d1_ex99-1.htm</t>
        </is>
      </c>
    </row>
    <row r="7">
      <c r="A7" t="inlineStr">
        <is>
          <t>2025Q4</t>
        </is>
      </c>
      <c r="B7" t="inlineStr">
        <is>
          <t>adjusted_ebitda_usd_m</t>
        </is>
      </c>
      <c r="C7" t="n">
        <v>15</v>
      </c>
      <c r="D7" t="inlineStr">
        <is>
          <t>USD m</t>
        </is>
      </c>
      <c r="E7" t="inlineStr"/>
      <c r="F7" t="inlineStr">
        <is>
          <t>6-K EX-99.1</t>
        </is>
      </c>
      <c r="G7" t="inlineStr">
        <is>
          <t>2026-02-12</t>
        </is>
      </c>
      <c r="H7" t="inlineStr">
        <is>
          <t>0001104659-26-013946</t>
        </is>
      </c>
      <c r="I7" t="inlineStr"/>
      <c r="J7" t="inlineStr">
        <is>
          <t>https://www.sec.gov/Archives/edgar/data/1513845/000110465926013946/tm266173d1_ex99-1.htm</t>
        </is>
      </c>
    </row>
    <row r="8">
      <c r="A8" t="inlineStr">
        <is>
          <t>2026Q1</t>
        </is>
      </c>
      <c r="B8" t="inlineStr">
        <is>
          <t>adjusted_ebitda_usd_m</t>
        </is>
      </c>
      <c r="C8" t="n">
        <v>129.5</v>
      </c>
      <c r="D8" t="inlineStr">
        <is>
          <t>USD m</t>
        </is>
      </c>
      <c r="E8" t="inlineStr"/>
      <c r="F8" t="inlineStr">
        <is>
          <t>6-K EX-99.1</t>
        </is>
      </c>
      <c r="G8" t="inlineStr">
        <is>
          <t>2026-05-13</t>
        </is>
      </c>
      <c r="H8" t="inlineStr">
        <is>
          <t>0001104659-26-059872</t>
        </is>
      </c>
      <c r="I8" t="inlineStr"/>
      <c r="J8" t="inlineStr">
        <is>
          <t>https://www.sec.gov/Archives/edgar/data/1513845/000110465926059872/tm2614392d1_ex99-1.htm</t>
        </is>
      </c>
    </row>
    <row r="9">
      <c r="A9" t="inlineStr">
        <is>
          <t>2026Q2</t>
        </is>
      </c>
      <c r="B9" t="inlineStr">
        <is>
          <t>adjusted_ebitda_usd_m</t>
        </is>
      </c>
      <c r="C9" t="n">
        <v>236.2</v>
      </c>
      <c r="D9" t="inlineStr">
        <is>
          <t>USD m</t>
        </is>
      </c>
      <c r="E9" t="inlineStr"/>
      <c r="F9" t="inlineStr">
        <is>
          <t>6-K EX-99.1</t>
        </is>
      </c>
      <c r="G9" t="inlineStr">
        <is>
          <t>2026-08-12</t>
        </is>
      </c>
      <c r="H9" t="inlineStr">
        <is>
          <t>0001104659-26-094568</t>
        </is>
      </c>
      <c r="I9" t="inlineStr"/>
      <c r="J9" t="inlineStr">
        <is>
          <t>https://www.sec.gov/Archives/edgar/data/1513845/000110465926094568/tm2622968d1_ex99-1.htm</t>
        </is>
      </c>
    </row>
    <row r="10">
      <c r="A10" t="inlineStr">
        <is>
          <t>2025Q4</t>
        </is>
      </c>
      <c r="B10" t="inlineStr">
        <is>
          <t>ai_cloud_revenue_usd_m</t>
        </is>
      </c>
      <c r="C10" t="n">
        <v>214.2</v>
      </c>
      <c r="D10" t="inlineStr">
        <is>
          <t>USD m</t>
        </is>
      </c>
      <c r="E10" t="inlineStr"/>
      <c r="F10" t="inlineStr">
        <is>
          <t>6-K EX-99.2</t>
        </is>
      </c>
      <c r="G10" t="inlineStr">
        <is>
          <t>2026-02-12</t>
        </is>
      </c>
      <c r="H10" t="inlineStr">
        <is>
          <t>0001104659-26-013946</t>
        </is>
      </c>
      <c r="I10" t="inlineStr"/>
      <c r="J10" t="inlineStr">
        <is>
          <t>https://www.sec.gov/Archives/edgar/data/1513845/000110465926013946/tm266173d1_ex99-2.htm</t>
        </is>
      </c>
    </row>
    <row r="11">
      <c r="A11" t="inlineStr">
        <is>
          <t>2026Q1</t>
        </is>
      </c>
      <c r="B11" t="inlineStr">
        <is>
          <t>ai_cloud_revenue_usd_m</t>
        </is>
      </c>
      <c r="C11" t="n">
        <v>389.7</v>
      </c>
      <c r="D11" t="inlineStr">
        <is>
          <t>USD m</t>
        </is>
      </c>
      <c r="E11" t="inlineStr"/>
      <c r="F11" t="inlineStr">
        <is>
          <t>6-K EX-99.2</t>
        </is>
      </c>
      <c r="G11" t="inlineStr">
        <is>
          <t>2026-05-13</t>
        </is>
      </c>
      <c r="H11" t="inlineStr">
        <is>
          <t>0001104659-26-059872</t>
        </is>
      </c>
      <c r="I11" t="inlineStr"/>
      <c r="J11" t="inlineStr">
        <is>
          <t>https://www.sec.gov/Archives/edgar/data/1513845/000110465926059872/tm2614392d1_ex99-2.htm</t>
        </is>
      </c>
    </row>
    <row r="12">
      <c r="A12" t="inlineStr">
        <is>
          <t>2026Q2</t>
        </is>
      </c>
      <c r="B12" t="inlineStr">
        <is>
          <t>ai_cloud_revenue_usd_m</t>
        </is>
      </c>
      <c r="C12" t="n">
        <v>574.9</v>
      </c>
      <c r="D12" t="inlineStr">
        <is>
          <t>USD m</t>
        </is>
      </c>
      <c r="E12" t="inlineStr"/>
      <c r="F12" t="inlineStr">
        <is>
          <t>6-K EX-99.2</t>
        </is>
      </c>
      <c r="G12" t="inlineStr">
        <is>
          <t>2026-08-12</t>
        </is>
      </c>
      <c r="H12" t="inlineStr">
        <is>
          <t>0001104659-26-094568</t>
        </is>
      </c>
      <c r="I12" t="inlineStr"/>
      <c r="J12" t="inlineStr">
        <is>
          <t>https://www.sec.gov/Archives/edgar/data/1513845/000110465926094568/tm2622968d1_ex99-2.htm</t>
        </is>
      </c>
    </row>
    <row r="13">
      <c r="A13" t="inlineStr">
        <is>
          <t>2025Q3</t>
        </is>
      </c>
      <c r="B13" t="inlineStr">
        <is>
          <t>arr_guidance_ye2026_high_usd_m</t>
        </is>
      </c>
      <c r="C13" t="n">
        <v>9000</v>
      </c>
      <c r="D13" t="inlineStr">
        <is>
          <t>USD m</t>
        </is>
      </c>
      <c r="E13" t="inlineStr">
        <is>
          <t>range high</t>
        </is>
      </c>
      <c r="F13" t="inlineStr">
        <is>
          <t>6-K EX-99.2</t>
        </is>
      </c>
      <c r="G13" t="inlineStr">
        <is>
          <t>2025-11-12</t>
        </is>
      </c>
      <c r="H13" t="inlineStr">
        <is>
          <t>0001104659-25-109806</t>
        </is>
      </c>
      <c r="I13" t="inlineStr"/>
      <c r="J13" t="inlineStr">
        <is>
          <t>https://www.sec.gov/Archives/edgar/data/1513845/000110465925109806/tm2530882d1_ex99-2.htm</t>
        </is>
      </c>
    </row>
    <row r="14">
      <c r="A14" t="inlineStr">
        <is>
          <t>2025Q3</t>
        </is>
      </c>
      <c r="B14" t="inlineStr">
        <is>
          <t>arr_guidance_ye2026_low_usd_m</t>
        </is>
      </c>
      <c r="C14" t="n">
        <v>7000</v>
      </c>
      <c r="D14" t="inlineStr">
        <is>
          <t>USD m</t>
        </is>
      </c>
      <c r="E14" t="inlineStr">
        <is>
          <t>range low</t>
        </is>
      </c>
      <c r="F14" t="inlineStr">
        <is>
          <t>6-K EX-99.2</t>
        </is>
      </c>
      <c r="G14" t="inlineStr">
        <is>
          <t>2025-11-12</t>
        </is>
      </c>
      <c r="H14" t="inlineStr">
        <is>
          <t>0001104659-25-109806</t>
        </is>
      </c>
      <c r="I14" t="inlineStr"/>
      <c r="J14" t="inlineStr">
        <is>
          <t>https://www.sec.gov/Archives/edgar/data/1513845/000110465925109806/tm2530882d1_ex99-2.htm</t>
        </is>
      </c>
    </row>
    <row r="15">
      <c r="A15" t="inlineStr">
        <is>
          <t>2025Q1</t>
        </is>
      </c>
      <c r="B15" t="inlineStr">
        <is>
          <t>arr_usd_m</t>
        </is>
      </c>
      <c r="C15" t="n">
        <v>249</v>
      </c>
      <c r="D15" t="inlineStr">
        <is>
          <t>USD m</t>
        </is>
      </c>
      <c r="E15" t="inlineStr"/>
      <c r="F15" t="inlineStr">
        <is>
          <t>6-K EX-99.2</t>
        </is>
      </c>
      <c r="G15" t="inlineStr">
        <is>
          <t>2025-05-20</t>
        </is>
      </c>
      <c r="H15" t="inlineStr">
        <is>
          <t>0001104659-25-050975</t>
        </is>
      </c>
      <c r="I15" t="inlineStr"/>
      <c r="J15" t="inlineStr">
        <is>
          <t>https://www.sec.gov/Archives/edgar/data/1513845/000110465925050975/tm2515580d1_ex99-2.htm</t>
        </is>
      </c>
    </row>
    <row r="16">
      <c r="A16" t="inlineStr">
        <is>
          <t>2025Q2</t>
        </is>
      </c>
      <c r="B16" t="inlineStr">
        <is>
          <t>arr_usd_m</t>
        </is>
      </c>
      <c r="C16" t="n">
        <v>430</v>
      </c>
      <c r="D16" t="inlineStr">
        <is>
          <t>USD m</t>
        </is>
      </c>
      <c r="E16" t="inlineStr"/>
      <c r="F16" t="inlineStr">
        <is>
          <t>6-K EX-99.2</t>
        </is>
      </c>
      <c r="G16" t="inlineStr">
        <is>
          <t>2025-08-07</t>
        </is>
      </c>
      <c r="H16" t="inlineStr">
        <is>
          <t>0001104659-25-075028</t>
        </is>
      </c>
      <c r="I16" t="inlineStr"/>
      <c r="J16" t="inlineStr">
        <is>
          <t>https://www.sec.gov/Archives/edgar/data/1513845/000110465925075028/tm2522866d1_ex99-2.htm</t>
        </is>
      </c>
    </row>
    <row r="17">
      <c r="A17" t="inlineStr">
        <is>
          <t>2025Q3</t>
        </is>
      </c>
      <c r="B17" t="inlineStr">
        <is>
          <t>arr_usd_m</t>
        </is>
      </c>
      <c r="C17" t="n">
        <v>551</v>
      </c>
      <c r="D17" t="inlineStr">
        <is>
          <t>USD m</t>
        </is>
      </c>
      <c r="E17" t="inlineStr">
        <is>
          <t>approximately</t>
        </is>
      </c>
      <c r="F17" t="inlineStr">
        <is>
          <t>6-K EX-99.2</t>
        </is>
      </c>
      <c r="G17" t="inlineStr">
        <is>
          <t>2025-11-12</t>
        </is>
      </c>
      <c r="H17" t="inlineStr">
        <is>
          <t>0001104659-25-109806</t>
        </is>
      </c>
      <c r="I17" t="inlineStr"/>
      <c r="J17" t="inlineStr">
        <is>
          <t>https://www.sec.gov/Archives/edgar/data/1513845/000110465925109806/tm2530882d1_ex99-2.htm</t>
        </is>
      </c>
    </row>
    <row r="18">
      <c r="A18" t="inlineStr">
        <is>
          <t>2025Q4</t>
        </is>
      </c>
      <c r="B18" t="inlineStr">
        <is>
          <t>arr_usd_m</t>
        </is>
      </c>
      <c r="C18" t="n">
        <v>1250</v>
      </c>
      <c r="D18" t="inlineStr">
        <is>
          <t>USD m</t>
        </is>
      </c>
      <c r="E18" t="inlineStr"/>
      <c r="F18" t="inlineStr">
        <is>
          <t>6-K EX-99.2</t>
        </is>
      </c>
      <c r="G18" t="inlineStr">
        <is>
          <t>2026-02-12</t>
        </is>
      </c>
      <c r="H18" t="inlineStr">
        <is>
          <t>0001104659-26-013946</t>
        </is>
      </c>
      <c r="I18" t="inlineStr"/>
      <c r="J18" t="inlineStr">
        <is>
          <t>https://www.sec.gov/Archives/edgar/data/1513845/000110465926013946/tm266173d1_ex99-2.htm</t>
        </is>
      </c>
    </row>
    <row r="19">
      <c r="A19" t="inlineStr">
        <is>
          <t>2026Q1</t>
        </is>
      </c>
      <c r="B19" t="inlineStr">
        <is>
          <t>arr_usd_m</t>
        </is>
      </c>
      <c r="C19" t="n">
        <v>1900</v>
      </c>
      <c r="D19" t="inlineStr">
        <is>
          <t>USD m</t>
        </is>
      </c>
      <c r="E19" t="inlineStr"/>
      <c r="F19" t="inlineStr">
        <is>
          <t>6-K EX-99.2</t>
        </is>
      </c>
      <c r="G19" t="inlineStr">
        <is>
          <t>2026-08-12</t>
        </is>
      </c>
      <c r="H19" t="inlineStr">
        <is>
          <t>0001104659-26-094568</t>
        </is>
      </c>
      <c r="I19" t="inlineStr"/>
      <c r="J19" t="inlineStr">
        <is>
          <t>https://www.sec.gov/Archives/edgar/data/1513845/000110465926094568/tm2622968d1_ex99-2.htm</t>
        </is>
      </c>
    </row>
    <row r="20">
      <c r="A20" t="inlineStr">
        <is>
          <t>2026Q2</t>
        </is>
      </c>
      <c r="B20" t="inlineStr">
        <is>
          <t>arr_usd_m</t>
        </is>
      </c>
      <c r="C20" t="n">
        <v>3000</v>
      </c>
      <c r="D20" t="inlineStr">
        <is>
          <t>USD m</t>
        </is>
      </c>
      <c r="E20" t="inlineStr"/>
      <c r="F20" t="inlineStr">
        <is>
          <t>6-K EX-99.2</t>
        </is>
      </c>
      <c r="G20" t="inlineStr">
        <is>
          <t>2026-08-12</t>
        </is>
      </c>
      <c r="H20" t="inlineStr">
        <is>
          <t>0001104659-26-094568</t>
        </is>
      </c>
      <c r="I20" t="inlineStr"/>
      <c r="J20" t="inlineStr">
        <is>
          <t>https://www.sec.gov/Archives/edgar/data/1513845/000110465926094568/tm2622968d1_ex99-2.htm</t>
        </is>
      </c>
    </row>
    <row r="21">
      <c r="A21" t="inlineStr">
        <is>
          <t>2025Q1</t>
        </is>
      </c>
      <c r="B21" t="inlineStr">
        <is>
          <t>capex_usd_m</t>
        </is>
      </c>
      <c r="C21" t="n">
        <v>543.9</v>
      </c>
      <c r="D21" t="inlineStr">
        <is>
          <t>USD m</t>
        </is>
      </c>
      <c r="E21" t="inlineStr">
        <is>
          <t>comparative</t>
        </is>
      </c>
      <c r="F21" t="inlineStr">
        <is>
          <t>6-K EX-99.1</t>
        </is>
      </c>
      <c r="G21" t="inlineStr">
        <is>
          <t>2026-05-13</t>
        </is>
      </c>
      <c r="H21" t="inlineStr">
        <is>
          <t>0001104659-26-059872</t>
        </is>
      </c>
      <c r="I21" t="inlineStr"/>
      <c r="J21" t="inlineStr">
        <is>
          <t>https://www.sec.gov/Archives/edgar/data/1513845/000110465926059872/tm2614392d1_ex99-1.htm</t>
        </is>
      </c>
    </row>
    <row r="22">
      <c r="A22" t="inlineStr">
        <is>
          <t>2025Q2</t>
        </is>
      </c>
      <c r="B22" t="inlineStr">
        <is>
          <t>capex_usd_m</t>
        </is>
      </c>
      <c r="C22" t="n">
        <v>510.6</v>
      </c>
      <c r="D22" t="inlineStr">
        <is>
          <t>USD m</t>
        </is>
      </c>
      <c r="E22" t="inlineStr"/>
      <c r="F22" t="inlineStr">
        <is>
          <t>6-K EX-99.1</t>
        </is>
      </c>
      <c r="G22" t="inlineStr">
        <is>
          <t>2025-08-07</t>
        </is>
      </c>
      <c r="H22" t="inlineStr">
        <is>
          <t>0001104659-25-075028</t>
        </is>
      </c>
      <c r="I22" t="inlineStr"/>
      <c r="J22" t="inlineStr">
        <is>
          <t>https://www.sec.gov/Archives/edgar/data/1513845/000110465925075028/tm2522866d1_ex99-1.htm</t>
        </is>
      </c>
    </row>
    <row r="23">
      <c r="A23" t="inlineStr">
        <is>
          <t>2025Q3</t>
        </is>
      </c>
      <c r="B23" t="inlineStr">
        <is>
          <t>capex_usd_m</t>
        </is>
      </c>
      <c r="C23" t="n">
        <v>955.5</v>
      </c>
      <c r="D23" t="inlineStr">
        <is>
          <t>USD m</t>
        </is>
      </c>
      <c r="E23" t="inlineStr"/>
      <c r="F23" t="inlineStr">
        <is>
          <t>6-K EX-99.1</t>
        </is>
      </c>
      <c r="G23" t="inlineStr">
        <is>
          <t>2025-11-12</t>
        </is>
      </c>
      <c r="H23" t="inlineStr">
        <is>
          <t>0001104659-25-109806</t>
        </is>
      </c>
      <c r="I23" t="inlineStr"/>
      <c r="J23" t="inlineStr">
        <is>
          <t>https://www.sec.gov/Archives/edgar/data/1513845/000110465925109806/tm2530882d1_ex99-1.htm</t>
        </is>
      </c>
    </row>
    <row r="24">
      <c r="A24" t="inlineStr">
        <is>
          <t>2025Q4</t>
        </is>
      </c>
      <c r="B24" t="inlineStr">
        <is>
          <t>capex_usd_m</t>
        </is>
      </c>
      <c r="C24" t="n">
        <v>2056</v>
      </c>
      <c r="D24" t="inlineStr">
        <is>
          <t>USD m</t>
        </is>
      </c>
      <c r="E24" t="inlineStr"/>
      <c r="F24" t="inlineStr">
        <is>
          <t>6-K EX-99.1</t>
        </is>
      </c>
      <c r="G24" t="inlineStr">
        <is>
          <t>2026-02-12</t>
        </is>
      </c>
      <c r="H24" t="inlineStr">
        <is>
          <t>0001104659-26-013946</t>
        </is>
      </c>
      <c r="I24" t="inlineStr"/>
      <c r="J24" t="inlineStr">
        <is>
          <t>https://www.sec.gov/Archives/edgar/data/1513845/000110465926013946/tm266173d1_ex99-1.htm</t>
        </is>
      </c>
    </row>
    <row r="25">
      <c r="A25" t="inlineStr">
        <is>
          <t>2026Q1</t>
        </is>
      </c>
      <c r="B25" t="inlineStr">
        <is>
          <t>capex_usd_m</t>
        </is>
      </c>
      <c r="C25" t="n">
        <v>2472.9</v>
      </c>
      <c r="D25" t="inlineStr">
        <is>
          <t>USD m</t>
        </is>
      </c>
      <c r="E25" t="inlineStr"/>
      <c r="F25" t="inlineStr">
        <is>
          <t>6-K EX-99.1</t>
        </is>
      </c>
      <c r="G25" t="inlineStr">
        <is>
          <t>2026-05-13</t>
        </is>
      </c>
      <c r="H25" t="inlineStr">
        <is>
          <t>0001104659-26-059872</t>
        </is>
      </c>
      <c r="I25" t="inlineStr"/>
      <c r="J25" t="inlineStr">
        <is>
          <t>https://www.sec.gov/Archives/edgar/data/1513845/000110465926059872/tm2614392d1_ex99-1.htm</t>
        </is>
      </c>
    </row>
    <row r="26">
      <c r="A26" t="inlineStr">
        <is>
          <t>2026Q2</t>
        </is>
      </c>
      <c r="B26" t="inlineStr">
        <is>
          <t>capex_usd_m</t>
        </is>
      </c>
      <c r="C26" t="n">
        <v>5657.4</v>
      </c>
      <c r="D26" t="inlineStr">
        <is>
          <t>USD m</t>
        </is>
      </c>
      <c r="E26" t="inlineStr"/>
      <c r="F26" t="inlineStr">
        <is>
          <t>6-K EX-99.1</t>
        </is>
      </c>
      <c r="G26" t="inlineStr">
        <is>
          <t>2026-08-12</t>
        </is>
      </c>
      <c r="H26" t="inlineStr">
        <is>
          <t>0001104659-26-094568</t>
        </is>
      </c>
      <c r="I26" t="inlineStr"/>
      <c r="J26" t="inlineStr">
        <is>
          <t>https://www.sec.gov/Archives/edgar/data/1513845/000110465926094568/tm2622968d1_ex99-1.htm</t>
        </is>
      </c>
    </row>
    <row r="27">
      <c r="A27" t="inlineStr">
        <is>
          <t>2024Q4</t>
        </is>
      </c>
      <c r="B27" t="inlineStr">
        <is>
          <t>cash_usd_m</t>
        </is>
      </c>
      <c r="C27" t="n">
        <v>2449.6</v>
      </c>
      <c r="D27" t="inlineStr">
        <is>
          <t>USD m</t>
        </is>
      </c>
      <c r="E27" t="inlineStr">
        <is>
          <t>comparative</t>
        </is>
      </c>
      <c r="F27" t="inlineStr">
        <is>
          <t>6-K EX-99.1</t>
        </is>
      </c>
      <c r="G27" t="inlineStr">
        <is>
          <t>2025-05-20</t>
        </is>
      </c>
      <c r="H27" t="inlineStr">
        <is>
          <t>0001104659-25-050975</t>
        </is>
      </c>
      <c r="I27" t="inlineStr"/>
      <c r="J27" t="inlineStr">
        <is>
          <t>https://www.sec.gov/Archives/edgar/data/1513845/000110465925050975/tm2515580d1_ex99-1.htm</t>
        </is>
      </c>
    </row>
    <row r="28">
      <c r="A28" t="inlineStr">
        <is>
          <t>2025Q1</t>
        </is>
      </c>
      <c r="B28" t="inlineStr">
        <is>
          <t>cash_usd_m</t>
        </is>
      </c>
      <c r="C28" t="n">
        <v>1447</v>
      </c>
      <c r="D28" t="inlineStr">
        <is>
          <t>USD m</t>
        </is>
      </c>
      <c r="E28" t="inlineStr"/>
      <c r="F28" t="inlineStr">
        <is>
          <t>6-K EX-99.1</t>
        </is>
      </c>
      <c r="G28" t="inlineStr">
        <is>
          <t>2025-05-20</t>
        </is>
      </c>
      <c r="H28" t="inlineStr">
        <is>
          <t>0001104659-25-050975</t>
        </is>
      </c>
      <c r="I28" t="inlineStr"/>
      <c r="J28" t="inlineStr">
        <is>
          <t>https://www.sec.gov/Archives/edgar/data/1513845/000110465925050975/tm2515580d1_ex99-1.htm</t>
        </is>
      </c>
    </row>
    <row r="29">
      <c r="A29" t="inlineStr">
        <is>
          <t>2025Q2</t>
        </is>
      </c>
      <c r="B29" t="inlineStr">
        <is>
          <t>cash_usd_m</t>
        </is>
      </c>
      <c r="C29" t="n">
        <v>1679.3</v>
      </c>
      <c r="D29" t="inlineStr">
        <is>
          <t>USD m</t>
        </is>
      </c>
      <c r="E29" t="inlineStr"/>
      <c r="F29" t="inlineStr">
        <is>
          <t>6-K EX-99.1</t>
        </is>
      </c>
      <c r="G29" t="inlineStr">
        <is>
          <t>2025-08-07</t>
        </is>
      </c>
      <c r="H29" t="inlineStr">
        <is>
          <t>0001104659-25-075028</t>
        </is>
      </c>
      <c r="I29" t="inlineStr"/>
      <c r="J29" t="inlineStr">
        <is>
          <t>https://www.sec.gov/Archives/edgar/data/1513845/000110465925075028/tm2522866d1_ex99-1.htm</t>
        </is>
      </c>
    </row>
    <row r="30">
      <c r="A30" t="inlineStr">
        <is>
          <t>2025Q3</t>
        </is>
      </c>
      <c r="B30" t="inlineStr">
        <is>
          <t>cash_usd_m</t>
        </is>
      </c>
      <c r="C30" t="n">
        <v>4794.8</v>
      </c>
      <c r="D30" t="inlineStr">
        <is>
          <t>USD m</t>
        </is>
      </c>
      <c r="E30" t="inlineStr"/>
      <c r="F30" t="inlineStr">
        <is>
          <t>6-K EX-99.1</t>
        </is>
      </c>
      <c r="G30" t="inlineStr">
        <is>
          <t>2025-11-12</t>
        </is>
      </c>
      <c r="H30" t="inlineStr">
        <is>
          <t>0001104659-25-109806</t>
        </is>
      </c>
      <c r="I30" t="inlineStr"/>
      <c r="J30" t="inlineStr">
        <is>
          <t>https://www.sec.gov/Archives/edgar/data/1513845/000110465925109806/tm2530882d1_ex99-1.htm</t>
        </is>
      </c>
    </row>
    <row r="31">
      <c r="A31" t="inlineStr">
        <is>
          <t>2025Q4</t>
        </is>
      </c>
      <c r="B31" t="inlineStr">
        <is>
          <t>cash_usd_m</t>
        </is>
      </c>
      <c r="C31" t="n">
        <v>3678.1</v>
      </c>
      <c r="D31" t="inlineStr">
        <is>
          <t>USD m</t>
        </is>
      </c>
      <c r="E31" t="inlineStr"/>
      <c r="F31" t="inlineStr">
        <is>
          <t>6-K EX-99.1</t>
        </is>
      </c>
      <c r="G31" t="inlineStr">
        <is>
          <t>2026-02-12</t>
        </is>
      </c>
      <c r="H31" t="inlineStr">
        <is>
          <t>0001104659-26-013946</t>
        </is>
      </c>
      <c r="I31" t="inlineStr"/>
      <c r="J31" t="inlineStr">
        <is>
          <t>https://www.sec.gov/Archives/edgar/data/1513845/000110465926013946/tm266173d1_ex99-1.htm</t>
        </is>
      </c>
    </row>
    <row r="32">
      <c r="A32" t="inlineStr">
        <is>
          <t>2026Q1</t>
        </is>
      </c>
      <c r="B32" t="inlineStr">
        <is>
          <t>cash_usd_m</t>
        </is>
      </c>
      <c r="C32" t="n">
        <v>9298.200000000001</v>
      </c>
      <c r="D32" t="inlineStr">
        <is>
          <t>USD m</t>
        </is>
      </c>
      <c r="E32" t="inlineStr"/>
      <c r="F32" t="inlineStr">
        <is>
          <t>6-K EX-99.1</t>
        </is>
      </c>
      <c r="G32" t="inlineStr">
        <is>
          <t>2026-05-13</t>
        </is>
      </c>
      <c r="H32" t="inlineStr">
        <is>
          <t>0001104659-26-059872</t>
        </is>
      </c>
      <c r="I32" t="inlineStr"/>
      <c r="J32" t="inlineStr">
        <is>
          <t>https://www.sec.gov/Archives/edgar/data/1513845/000110465926059872/tm2614392d1_ex99-1.htm</t>
        </is>
      </c>
    </row>
    <row r="33">
      <c r="A33" t="inlineStr">
        <is>
          <t>2026Q2</t>
        </is>
      </c>
      <c r="B33" t="inlineStr">
        <is>
          <t>cash_usd_m</t>
        </is>
      </c>
      <c r="C33" t="n">
        <v>8042.1</v>
      </c>
      <c r="D33" t="inlineStr">
        <is>
          <t>USD m</t>
        </is>
      </c>
      <c r="E33" t="inlineStr"/>
      <c r="F33" t="inlineStr">
        <is>
          <t>6-K EX-99.1</t>
        </is>
      </c>
      <c r="G33" t="inlineStr">
        <is>
          <t>2026-08-12</t>
        </is>
      </c>
      <c r="H33" t="inlineStr">
        <is>
          <t>0001104659-26-094568</t>
        </is>
      </c>
      <c r="I33" t="inlineStr"/>
      <c r="J33" t="inlineStr">
        <is>
          <t>https://www.sec.gov/Archives/edgar/data/1513845/000110465926094568/tm2622968d1_ex99-1.htm</t>
        </is>
      </c>
    </row>
    <row r="34">
      <c r="A34" t="inlineStr">
        <is>
          <t>2025Q2</t>
        </is>
      </c>
      <c r="B34" t="inlineStr">
        <is>
          <t>connected_power_target_ye2025_mw</t>
        </is>
      </c>
      <c r="C34" t="n">
        <v>220</v>
      </c>
      <c r="D34" t="inlineStr">
        <is>
          <t>MW</t>
        </is>
      </c>
      <c r="E34" t="inlineStr">
        <is>
          <t>target</t>
        </is>
      </c>
      <c r="F34" t="inlineStr">
        <is>
          <t>6-K EX-99.2</t>
        </is>
      </c>
      <c r="G34" t="inlineStr">
        <is>
          <t>2025-08-07</t>
        </is>
      </c>
      <c r="H34" t="inlineStr">
        <is>
          <t>0001104659-25-075028</t>
        </is>
      </c>
      <c r="I34" t="inlineStr"/>
      <c r="J34" t="inlineStr">
        <is>
          <t>https://www.sec.gov/Archives/edgar/data/1513845/000110465925075028/tm2522866d1_ex99-2.htm</t>
        </is>
      </c>
    </row>
    <row r="35">
      <c r="A35" t="inlineStr">
        <is>
          <t>2025Q3</t>
        </is>
      </c>
      <c r="B35" t="inlineStr">
        <is>
          <t>connected_power_target_ye2026_mw</t>
        </is>
      </c>
      <c r="C35" t="n">
        <v>1000</v>
      </c>
      <c r="D35" t="inlineStr">
        <is>
          <t>MW</t>
        </is>
      </c>
      <c r="E35" t="inlineStr">
        <is>
          <t>range high</t>
        </is>
      </c>
      <c r="F35" t="inlineStr">
        <is>
          <t>6-K EX-99.2</t>
        </is>
      </c>
      <c r="G35" t="inlineStr">
        <is>
          <t>2025-11-12</t>
        </is>
      </c>
      <c r="H35" t="inlineStr">
        <is>
          <t>0001104659-25-109806</t>
        </is>
      </c>
      <c r="I35" t="inlineStr"/>
      <c r="J35" t="inlineStr">
        <is>
          <t>https://www.sec.gov/Archives/edgar/data/1513845/000110465925109806/tm2530882d1_ex99-2.htm</t>
        </is>
      </c>
    </row>
    <row r="36">
      <c r="A36" t="inlineStr">
        <is>
          <t>2026Q1</t>
        </is>
      </c>
      <c r="B36" t="inlineStr">
        <is>
          <t>connected_power_target_ye2026_mw</t>
        </is>
      </c>
      <c r="C36" t="n">
        <v>1000</v>
      </c>
      <c r="D36" t="inlineStr">
        <is>
          <t>MW</t>
        </is>
      </c>
      <c r="E36" t="inlineStr">
        <is>
          <t>range high</t>
        </is>
      </c>
      <c r="F36" t="inlineStr">
        <is>
          <t>6-K EX-99.2</t>
        </is>
      </c>
      <c r="G36" t="inlineStr">
        <is>
          <t>2026-05-13</t>
        </is>
      </c>
      <c r="H36" t="inlineStr">
        <is>
          <t>0001104659-26-059872</t>
        </is>
      </c>
      <c r="I36" t="inlineStr"/>
      <c r="J36" t="inlineStr">
        <is>
          <t>https://www.sec.gov/Archives/edgar/data/1513845/000110465926059872/tm2614392d1_ex99-2.htm</t>
        </is>
      </c>
    </row>
    <row r="37">
      <c r="A37" t="inlineStr">
        <is>
          <t>2025Q4</t>
        </is>
      </c>
      <c r="B37" t="inlineStr">
        <is>
          <t>contracted_power_gw</t>
        </is>
      </c>
      <c r="C37" t="n">
        <v>2</v>
      </c>
      <c r="D37" t="inlineStr">
        <is>
          <t>GW</t>
        </is>
      </c>
      <c r="E37" t="inlineStr">
        <is>
          <t>more than</t>
        </is>
      </c>
      <c r="F37" t="inlineStr">
        <is>
          <t>6-K EX-99.2</t>
        </is>
      </c>
      <c r="G37" t="inlineStr">
        <is>
          <t>2026-02-12</t>
        </is>
      </c>
      <c r="H37" t="inlineStr">
        <is>
          <t>0001104659-26-013946</t>
        </is>
      </c>
      <c r="I37" t="inlineStr"/>
      <c r="J37" t="inlineStr">
        <is>
          <t>https://www.sec.gov/Archives/edgar/data/1513845/000110465926013946/tm266173d1_ex99-2.htm</t>
        </is>
      </c>
    </row>
    <row r="38">
      <c r="A38" t="inlineStr">
        <is>
          <t>2026Q1</t>
        </is>
      </c>
      <c r="B38" t="inlineStr">
        <is>
          <t>contracted_power_gw</t>
        </is>
      </c>
      <c r="C38" t="n">
        <v>3.5</v>
      </c>
      <c r="D38" t="inlineStr">
        <is>
          <t>GW</t>
        </is>
      </c>
      <c r="E38" t="inlineStr">
        <is>
          <t>more than</t>
        </is>
      </c>
      <c r="F38" t="inlineStr">
        <is>
          <t>6-K EX-99.2</t>
        </is>
      </c>
      <c r="G38" t="inlineStr">
        <is>
          <t>2026-05-13</t>
        </is>
      </c>
      <c r="H38" t="inlineStr">
        <is>
          <t>0001104659-26-059872</t>
        </is>
      </c>
      <c r="I38" t="inlineStr"/>
      <c r="J38" t="inlineStr">
        <is>
          <t>https://www.sec.gov/Archives/edgar/data/1513845/000110465926059872/tm2614392d1_ex99-2.htm</t>
        </is>
      </c>
    </row>
    <row r="39">
      <c r="A39" t="inlineStr">
        <is>
          <t>2025Q2</t>
        </is>
      </c>
      <c r="B39" t="inlineStr">
        <is>
          <t>contracted_power_target_ye2026_gw</t>
        </is>
      </c>
      <c r="C39" t="n">
        <v>1</v>
      </c>
      <c r="D39" t="inlineStr">
        <is>
          <t>GW</t>
        </is>
      </c>
      <c r="E39" t="inlineStr">
        <is>
          <t>target</t>
        </is>
      </c>
      <c r="F39" t="inlineStr">
        <is>
          <t>6-K EX-99.2</t>
        </is>
      </c>
      <c r="G39" t="inlineStr">
        <is>
          <t>2025-08-07</t>
        </is>
      </c>
      <c r="H39" t="inlineStr">
        <is>
          <t>0001104659-25-075028</t>
        </is>
      </c>
      <c r="I39" t="inlineStr"/>
      <c r="J39" t="inlineStr">
        <is>
          <t>https://www.sec.gov/Archives/edgar/data/1513845/000110465925075028/tm2522866d1_ex99-2.htm</t>
        </is>
      </c>
    </row>
    <row r="40">
      <c r="A40" t="inlineStr">
        <is>
          <t>2025Q3</t>
        </is>
      </c>
      <c r="B40" t="inlineStr">
        <is>
          <t>contracted_power_target_ye2026_gw</t>
        </is>
      </c>
      <c r="C40" t="n">
        <v>2.5</v>
      </c>
      <c r="D40" t="inlineStr">
        <is>
          <t>GW</t>
        </is>
      </c>
      <c r="E40" t="inlineStr">
        <is>
          <t>more than</t>
        </is>
      </c>
      <c r="F40" t="inlineStr">
        <is>
          <t>6-K EX-99.2</t>
        </is>
      </c>
      <c r="G40" t="inlineStr">
        <is>
          <t>2025-11-12</t>
        </is>
      </c>
      <c r="H40" t="inlineStr">
        <is>
          <t>0001104659-25-109806</t>
        </is>
      </c>
      <c r="I40" t="inlineStr"/>
      <c r="J40" t="inlineStr">
        <is>
          <t>https://www.sec.gov/Archives/edgar/data/1513845/000110465925109806/tm2530882d1_ex99-2.htm</t>
        </is>
      </c>
    </row>
    <row r="41">
      <c r="A41" t="inlineStr">
        <is>
          <t>2025Q4</t>
        </is>
      </c>
      <c r="B41" t="inlineStr">
        <is>
          <t>contracted_power_target_ye2026_gw</t>
        </is>
      </c>
      <c r="C41" t="n">
        <v>3</v>
      </c>
      <c r="D41" t="inlineStr">
        <is>
          <t>GW</t>
        </is>
      </c>
      <c r="E41" t="inlineStr">
        <is>
          <t>more than</t>
        </is>
      </c>
      <c r="F41" t="inlineStr">
        <is>
          <t>6-K EX-99.2</t>
        </is>
      </c>
      <c r="G41" t="inlineStr">
        <is>
          <t>2026-02-12</t>
        </is>
      </c>
      <c r="H41" t="inlineStr">
        <is>
          <t>0001104659-26-013946</t>
        </is>
      </c>
      <c r="I41" t="inlineStr"/>
      <c r="J41" t="inlineStr">
        <is>
          <t>https://www.sec.gov/Archives/edgar/data/1513845/000110465926013946/tm266173d1_ex99-2.htm</t>
        </is>
      </c>
    </row>
    <row r="42">
      <c r="A42" t="inlineStr">
        <is>
          <t>2026Q1</t>
        </is>
      </c>
      <c r="B42" t="inlineStr">
        <is>
          <t>contracted_power_target_ye2026_gw</t>
        </is>
      </c>
      <c r="C42" t="n">
        <v>4</v>
      </c>
      <c r="D42" t="inlineStr">
        <is>
          <t>GW</t>
        </is>
      </c>
      <c r="E42" t="inlineStr">
        <is>
          <t>more than</t>
        </is>
      </c>
      <c r="F42" t="inlineStr">
        <is>
          <t>6-K EX-99.2</t>
        </is>
      </c>
      <c r="G42" t="inlineStr">
        <is>
          <t>2026-05-13</t>
        </is>
      </c>
      <c r="H42" t="inlineStr">
        <is>
          <t>0001104659-26-059872</t>
        </is>
      </c>
      <c r="I42" t="inlineStr"/>
      <c r="J42" t="inlineStr">
        <is>
          <t>https://www.sec.gov/Archives/edgar/data/1513845/000110465926059872/tm2614392d1_ex99-2.htm</t>
        </is>
      </c>
    </row>
    <row r="43">
      <c r="A43" t="inlineStr">
        <is>
          <t>2026Q2</t>
        </is>
      </c>
      <c r="B43" t="inlineStr">
        <is>
          <t>contracted_power_target_ye2026_gw</t>
        </is>
      </c>
      <c r="C43" t="n">
        <v>5</v>
      </c>
      <c r="D43" t="inlineStr">
        <is>
          <t>GW</t>
        </is>
      </c>
      <c r="E43" t="inlineStr">
        <is>
          <t>target</t>
        </is>
      </c>
      <c r="F43" t="inlineStr">
        <is>
          <t>6-K EX-99.2</t>
        </is>
      </c>
      <c r="G43" t="inlineStr">
        <is>
          <t>2026-08-12</t>
        </is>
      </c>
      <c r="H43" t="inlineStr">
        <is>
          <t>0001104659-26-094568</t>
        </is>
      </c>
      <c r="I43" t="inlineStr"/>
      <c r="J43" t="inlineStr">
        <is>
          <t>https://www.sec.gov/Archives/edgar/data/1513845/000110465926094568/tm2622968d1_ex99-2.htm</t>
        </is>
      </c>
    </row>
    <row r="44">
      <c r="A44" t="inlineStr">
        <is>
          <t>2024Q4</t>
        </is>
      </c>
      <c r="B44" t="inlineStr">
        <is>
          <t>debt_current_usd_m</t>
        </is>
      </c>
      <c r="C44" t="n">
        <v>6.1</v>
      </c>
      <c r="D44" t="inlineStr">
        <is>
          <t>USD m</t>
        </is>
      </c>
      <c r="E44" t="inlineStr">
        <is>
          <t>comparative</t>
        </is>
      </c>
      <c r="F44" t="inlineStr">
        <is>
          <t>6-K EX-99.1</t>
        </is>
      </c>
      <c r="G44" t="inlineStr">
        <is>
          <t>2025-05-20</t>
        </is>
      </c>
      <c r="H44" t="inlineStr">
        <is>
          <t>0001104659-25-050975</t>
        </is>
      </c>
      <c r="I44" t="inlineStr"/>
      <c r="J44" t="inlineStr">
        <is>
          <t>https://www.sec.gov/Archives/edgar/data/1513845/000110465925050975/tm2515580d1_ex99-1.htm</t>
        </is>
      </c>
    </row>
    <row r="45">
      <c r="A45" t="inlineStr">
        <is>
          <t>2025Q1</t>
        </is>
      </c>
      <c r="B45" t="inlineStr">
        <is>
          <t>debt_current_usd_m</t>
        </is>
      </c>
      <c r="C45" t="n">
        <v>6.2</v>
      </c>
      <c r="D45" t="inlineStr">
        <is>
          <t>USD m</t>
        </is>
      </c>
      <c r="E45" t="inlineStr"/>
      <c r="F45" t="inlineStr">
        <is>
          <t>6-K EX-99.1</t>
        </is>
      </c>
      <c r="G45" t="inlineStr">
        <is>
          <t>2025-05-20</t>
        </is>
      </c>
      <c r="H45" t="inlineStr">
        <is>
          <t>0001104659-25-050975</t>
        </is>
      </c>
      <c r="I45" t="inlineStr"/>
      <c r="J45" t="inlineStr">
        <is>
          <t>https://www.sec.gov/Archives/edgar/data/1513845/000110465925050975/tm2515580d1_ex99-1.htm</t>
        </is>
      </c>
    </row>
    <row r="46">
      <c r="A46" t="inlineStr">
        <is>
          <t>2025Q2</t>
        </is>
      </c>
      <c r="B46" t="inlineStr">
        <is>
          <t>debt_current_usd_m</t>
        </is>
      </c>
      <c r="C46" t="n">
        <v>8</v>
      </c>
      <c r="D46" t="inlineStr">
        <is>
          <t>USD m</t>
        </is>
      </c>
      <c r="E46" t="inlineStr"/>
      <c r="F46" t="inlineStr">
        <is>
          <t>6-K EX-99.1</t>
        </is>
      </c>
      <c r="G46" t="inlineStr">
        <is>
          <t>2025-08-07</t>
        </is>
      </c>
      <c r="H46" t="inlineStr">
        <is>
          <t>0001104659-25-075028</t>
        </is>
      </c>
      <c r="I46" t="inlineStr"/>
      <c r="J46" t="inlineStr">
        <is>
          <t>https://www.sec.gov/Archives/edgar/data/1513845/000110465925075028/tm2522866d1_ex99-1.htm</t>
        </is>
      </c>
    </row>
    <row r="47">
      <c r="A47" t="inlineStr">
        <is>
          <t>2025Q3</t>
        </is>
      </c>
      <c r="B47" t="inlineStr">
        <is>
          <t>debt_current_usd_m</t>
        </is>
      </c>
      <c r="C47" t="n">
        <v>16</v>
      </c>
      <c r="D47" t="inlineStr">
        <is>
          <t>USD m</t>
        </is>
      </c>
      <c r="E47" t="inlineStr"/>
      <c r="F47" t="inlineStr">
        <is>
          <t>6-K EX-99.1</t>
        </is>
      </c>
      <c r="G47" t="inlineStr">
        <is>
          <t>2025-11-12</t>
        </is>
      </c>
      <c r="H47" t="inlineStr">
        <is>
          <t>0001104659-25-109806</t>
        </is>
      </c>
      <c r="I47" t="inlineStr"/>
      <c r="J47" t="inlineStr">
        <is>
          <t>https://www.sec.gov/Archives/edgar/data/1513845/000110465925109806/tm2530882d1_ex99-1.htm</t>
        </is>
      </c>
    </row>
    <row r="48">
      <c r="A48" t="inlineStr">
        <is>
          <t>2025Q4</t>
        </is>
      </c>
      <c r="B48" t="inlineStr">
        <is>
          <t>debt_current_usd_m</t>
        </is>
      </c>
      <c r="C48" t="n">
        <v>24.5</v>
      </c>
      <c r="D48" t="inlineStr">
        <is>
          <t>USD m</t>
        </is>
      </c>
      <c r="E48" t="inlineStr"/>
      <c r="F48" t="inlineStr">
        <is>
          <t>6-K EX-99.1</t>
        </is>
      </c>
      <c r="G48" t="inlineStr">
        <is>
          <t>2026-02-12</t>
        </is>
      </c>
      <c r="H48" t="inlineStr">
        <is>
          <t>0001104659-26-013946</t>
        </is>
      </c>
      <c r="I48" t="inlineStr"/>
      <c r="J48" t="inlineStr">
        <is>
          <t>https://www.sec.gov/Archives/edgar/data/1513845/000110465926013946/tm266173d1_ex99-1.htm</t>
        </is>
      </c>
    </row>
    <row r="49">
      <c r="A49" t="inlineStr">
        <is>
          <t>2026Q1</t>
        </is>
      </c>
      <c r="B49" t="inlineStr">
        <is>
          <t>debt_current_usd_m</t>
        </is>
      </c>
      <c r="C49" t="n">
        <v>18.4</v>
      </c>
      <c r="D49" t="inlineStr">
        <is>
          <t>USD m</t>
        </is>
      </c>
      <c r="E49" t="inlineStr"/>
      <c r="F49" t="inlineStr">
        <is>
          <t>6-K EX-99.1</t>
        </is>
      </c>
      <c r="G49" t="inlineStr">
        <is>
          <t>2026-05-13</t>
        </is>
      </c>
      <c r="H49" t="inlineStr">
        <is>
          <t>0001104659-26-059872</t>
        </is>
      </c>
      <c r="I49" t="inlineStr"/>
      <c r="J49" t="inlineStr">
        <is>
          <t>https://www.sec.gov/Archives/edgar/data/1513845/000110465926059872/tm2614392d1_ex99-1.htm</t>
        </is>
      </c>
    </row>
    <row r="50">
      <c r="A50" t="inlineStr">
        <is>
          <t>2026Q2</t>
        </is>
      </c>
      <c r="B50" t="inlineStr">
        <is>
          <t>debt_current_usd_m</t>
        </is>
      </c>
      <c r="C50" t="n">
        <v>46.7</v>
      </c>
      <c r="D50" t="inlineStr">
        <is>
          <t>USD m</t>
        </is>
      </c>
      <c r="E50" t="inlineStr"/>
      <c r="F50" t="inlineStr">
        <is>
          <t>6-K EX-99.1</t>
        </is>
      </c>
      <c r="G50" t="inlineStr">
        <is>
          <t>2026-08-12</t>
        </is>
      </c>
      <c r="H50" t="inlineStr">
        <is>
          <t>0001104659-26-094568</t>
        </is>
      </c>
      <c r="I50" t="inlineStr"/>
      <c r="J50" t="inlineStr">
        <is>
          <t>https://www.sec.gov/Archives/edgar/data/1513845/000110465926094568/tm2622968d1_ex99-1.htm</t>
        </is>
      </c>
    </row>
    <row r="51">
      <c r="A51" t="inlineStr">
        <is>
          <t>2024Q4</t>
        </is>
      </c>
      <c r="B51" t="inlineStr">
        <is>
          <t>debt_non_current_usd_m</t>
        </is>
      </c>
      <c r="C51" t="n">
        <v>0</v>
      </c>
      <c r="D51" t="inlineStr">
        <is>
          <t>USD m</t>
        </is>
      </c>
      <c r="E51" t="inlineStr">
        <is>
          <t>not reported</t>
        </is>
      </c>
      <c r="F51" t="inlineStr">
        <is>
          <t>6-K EX-99.1</t>
        </is>
      </c>
      <c r="G51" t="inlineStr">
        <is>
          <t>2025-05-20</t>
        </is>
      </c>
      <c r="H51" t="inlineStr">
        <is>
          <t>0001104659-25-050975</t>
        </is>
      </c>
      <c r="I51" t="inlineStr"/>
      <c r="J51" t="inlineStr">
        <is>
          <t>https://www.sec.gov/Archives/edgar/data/1513845/000110465925050975/tm2515580d1_ex99-1.htm</t>
        </is>
      </c>
    </row>
    <row r="52">
      <c r="A52" t="inlineStr">
        <is>
          <t>2025Q1</t>
        </is>
      </c>
      <c r="B52" t="inlineStr">
        <is>
          <t>debt_non_current_usd_m</t>
        </is>
      </c>
      <c r="C52" t="n">
        <v>0</v>
      </c>
      <c r="D52" t="inlineStr">
        <is>
          <t>USD m</t>
        </is>
      </c>
      <c r="E52" t="inlineStr">
        <is>
          <t>not reported</t>
        </is>
      </c>
      <c r="F52" t="inlineStr">
        <is>
          <t>6-K EX-99.1</t>
        </is>
      </c>
      <c r="G52" t="inlineStr">
        <is>
          <t>2025-05-20</t>
        </is>
      </c>
      <c r="H52" t="inlineStr">
        <is>
          <t>0001104659-25-050975</t>
        </is>
      </c>
      <c r="I52" t="inlineStr"/>
      <c r="J52" t="inlineStr">
        <is>
          <t>https://www.sec.gov/Archives/edgar/data/1513845/000110465925050975/tm2515580d1_ex99-1.htm</t>
        </is>
      </c>
    </row>
    <row r="53">
      <c r="A53" t="inlineStr">
        <is>
          <t>2025Q2</t>
        </is>
      </c>
      <c r="B53" t="inlineStr">
        <is>
          <t>debt_non_current_usd_m</t>
        </is>
      </c>
      <c r="C53" t="n">
        <v>978.2</v>
      </c>
      <c r="D53" t="inlineStr">
        <is>
          <t>USD m</t>
        </is>
      </c>
      <c r="E53" t="inlineStr"/>
      <c r="F53" t="inlineStr">
        <is>
          <t>6-K EX-99.1</t>
        </is>
      </c>
      <c r="G53" t="inlineStr">
        <is>
          <t>2025-08-07</t>
        </is>
      </c>
      <c r="H53" t="inlineStr">
        <is>
          <t>0001104659-25-075028</t>
        </is>
      </c>
      <c r="I53" t="inlineStr"/>
      <c r="J53" t="inlineStr">
        <is>
          <t>https://www.sec.gov/Archives/edgar/data/1513845/000110465925075028/tm2522866d1_ex99-1.htm</t>
        </is>
      </c>
    </row>
    <row r="54">
      <c r="A54" t="inlineStr">
        <is>
          <t>2025Q3</t>
        </is>
      </c>
      <c r="B54" t="inlineStr">
        <is>
          <t>debt_non_current_usd_m</t>
        </is>
      </c>
      <c r="C54" t="n">
        <v>4090.8</v>
      </c>
      <c r="D54" t="inlineStr">
        <is>
          <t>USD m</t>
        </is>
      </c>
      <c r="E54" t="inlineStr"/>
      <c r="F54" t="inlineStr">
        <is>
          <t>6-K EX-99.1</t>
        </is>
      </c>
      <c r="G54" t="inlineStr">
        <is>
          <t>2025-11-12</t>
        </is>
      </c>
      <c r="H54" t="inlineStr">
        <is>
          <t>0001104659-25-109806</t>
        </is>
      </c>
      <c r="I54" t="inlineStr"/>
      <c r="J54" t="inlineStr">
        <is>
          <t>https://www.sec.gov/Archives/edgar/data/1513845/000110465925109806/tm2530882d1_ex99-1.htm</t>
        </is>
      </c>
    </row>
    <row r="55">
      <c r="A55" t="inlineStr">
        <is>
          <t>2025Q4</t>
        </is>
      </c>
      <c r="B55" t="inlineStr">
        <is>
          <t>debt_non_current_usd_m</t>
        </is>
      </c>
      <c r="C55" t="n">
        <v>4103.2</v>
      </c>
      <c r="D55" t="inlineStr">
        <is>
          <t>USD m</t>
        </is>
      </c>
      <c r="E55" t="inlineStr"/>
      <c r="F55" t="inlineStr">
        <is>
          <t>6-K EX-99.1</t>
        </is>
      </c>
      <c r="G55" t="inlineStr">
        <is>
          <t>2026-02-12</t>
        </is>
      </c>
      <c r="H55" t="inlineStr">
        <is>
          <t>0001104659-26-013946</t>
        </is>
      </c>
      <c r="I55" t="inlineStr"/>
      <c r="J55" t="inlineStr">
        <is>
          <t>https://www.sec.gov/Archives/edgar/data/1513845/000110465926013946/tm266173d1_ex99-1.htm</t>
        </is>
      </c>
    </row>
    <row r="56">
      <c r="A56" t="inlineStr">
        <is>
          <t>2026Q1</t>
        </is>
      </c>
      <c r="B56" t="inlineStr">
        <is>
          <t>debt_non_current_usd_m</t>
        </is>
      </c>
      <c r="C56" t="n">
        <v>8432</v>
      </c>
      <c r="D56" t="inlineStr">
        <is>
          <t>USD m</t>
        </is>
      </c>
      <c r="E56" t="inlineStr"/>
      <c r="F56" t="inlineStr">
        <is>
          <t>6-K EX-99.1</t>
        </is>
      </c>
      <c r="G56" t="inlineStr">
        <is>
          <t>2026-05-13</t>
        </is>
      </c>
      <c r="H56" t="inlineStr">
        <is>
          <t>0001104659-26-059872</t>
        </is>
      </c>
      <c r="I56" t="inlineStr"/>
      <c r="J56" t="inlineStr">
        <is>
          <t>https://www.sec.gov/Archives/edgar/data/1513845/000110465926059872/tm2614392d1_ex99-1.htm</t>
        </is>
      </c>
    </row>
    <row r="57">
      <c r="A57" t="inlineStr">
        <is>
          <t>2026Q2</t>
        </is>
      </c>
      <c r="B57" t="inlineStr">
        <is>
          <t>debt_non_current_usd_m</t>
        </is>
      </c>
      <c r="C57" t="n">
        <v>8499</v>
      </c>
      <c r="D57" t="inlineStr">
        <is>
          <t>USD m</t>
        </is>
      </c>
      <c r="E57" t="inlineStr"/>
      <c r="F57" t="inlineStr">
        <is>
          <t>6-K EX-99.1</t>
        </is>
      </c>
      <c r="G57" t="inlineStr">
        <is>
          <t>2026-08-12</t>
        </is>
      </c>
      <c r="H57" t="inlineStr">
        <is>
          <t>0001104659-26-094568</t>
        </is>
      </c>
      <c r="I57" t="inlineStr"/>
      <c r="J57" t="inlineStr">
        <is>
          <t>https://www.sec.gov/Archives/edgar/data/1513845/000110465926094568/tm2622968d1_ex99-1.htm</t>
        </is>
      </c>
    </row>
    <row r="58">
      <c r="A58" t="inlineStr">
        <is>
          <t>2025Q3</t>
        </is>
      </c>
      <c r="B58" t="inlineStr">
        <is>
          <t>deferred_revenue_change_usd_m</t>
        </is>
      </c>
      <c r="C58" t="n">
        <v>-3.8</v>
      </c>
      <c r="D58" t="inlineStr">
        <is>
          <t>USD m</t>
        </is>
      </c>
      <c r="E58" t="inlineStr"/>
      <c r="F58" t="inlineStr">
        <is>
          <t>6-K EX-99.1</t>
        </is>
      </c>
      <c r="G58" t="inlineStr">
        <is>
          <t>2025-11-12</t>
        </is>
      </c>
      <c r="H58" t="inlineStr">
        <is>
          <t>0001104659-25-109806</t>
        </is>
      </c>
      <c r="I58" t="inlineStr"/>
      <c r="J58" t="inlineStr">
        <is>
          <t>https://www.sec.gov/Archives/edgar/data/1513845/000110465925109806/tm2530882d1_ex99-1.htm</t>
        </is>
      </c>
    </row>
    <row r="59">
      <c r="A59" t="inlineStr">
        <is>
          <t>2025Q4</t>
        </is>
      </c>
      <c r="B59" t="inlineStr">
        <is>
          <t>deferred_revenue_change_usd_m</t>
        </is>
      </c>
      <c r="C59" t="n">
        <v>1566.5</v>
      </c>
      <c r="D59" t="inlineStr">
        <is>
          <t>USD m</t>
        </is>
      </c>
      <c r="E59" t="inlineStr"/>
      <c r="F59" t="inlineStr">
        <is>
          <t>6-K EX-99.1</t>
        </is>
      </c>
      <c r="G59" t="inlineStr">
        <is>
          <t>2026-02-12</t>
        </is>
      </c>
      <c r="H59" t="inlineStr">
        <is>
          <t>0001104659-26-013946</t>
        </is>
      </c>
      <c r="I59" t="inlineStr"/>
      <c r="J59" t="inlineStr">
        <is>
          <t>https://www.sec.gov/Archives/edgar/data/1513845/000110465926013946/tm266173d1_ex99-1.htm</t>
        </is>
      </c>
    </row>
    <row r="60">
      <c r="A60" t="inlineStr">
        <is>
          <t>2026Q1</t>
        </is>
      </c>
      <c r="B60" t="inlineStr">
        <is>
          <t>deferred_revenue_change_usd_m</t>
        </is>
      </c>
      <c r="C60" t="n">
        <v>3198</v>
      </c>
      <c r="D60" t="inlineStr">
        <is>
          <t>USD m</t>
        </is>
      </c>
      <c r="E60" t="inlineStr"/>
      <c r="F60" t="inlineStr">
        <is>
          <t>6-K EX-99.1</t>
        </is>
      </c>
      <c r="G60" t="inlineStr">
        <is>
          <t>2026-05-13</t>
        </is>
      </c>
      <c r="H60" t="inlineStr">
        <is>
          <t>0001104659-26-059872</t>
        </is>
      </c>
      <c r="I60" t="inlineStr"/>
      <c r="J60" t="inlineStr">
        <is>
          <t>https://www.sec.gov/Archives/edgar/data/1513845/000110465926059872/tm2614392d1_ex99-1.htm</t>
        </is>
      </c>
    </row>
    <row r="61">
      <c r="A61" t="inlineStr">
        <is>
          <t>2026Q2</t>
        </is>
      </c>
      <c r="B61" t="inlineStr">
        <is>
          <t>deferred_revenue_change_usd_m</t>
        </is>
      </c>
      <c r="C61" t="n">
        <v>1197</v>
      </c>
      <c r="D61" t="inlineStr">
        <is>
          <t>USD m</t>
        </is>
      </c>
      <c r="E61" t="inlineStr"/>
      <c r="F61" t="inlineStr">
        <is>
          <t>6-K EX-99.1</t>
        </is>
      </c>
      <c r="G61" t="inlineStr">
        <is>
          <t>2026-08-12</t>
        </is>
      </c>
      <c r="H61" t="inlineStr">
        <is>
          <t>0001104659-26-094568</t>
        </is>
      </c>
      <c r="I61" t="inlineStr"/>
      <c r="J61" t="inlineStr">
        <is>
          <t>https://www.sec.gov/Archives/edgar/data/1513845/000110465926094568/tm2622968d1_ex99-1.htm</t>
        </is>
      </c>
    </row>
    <row r="62">
      <c r="A62" t="inlineStr">
        <is>
          <t>2024Q4</t>
        </is>
      </c>
      <c r="B62" t="inlineStr">
        <is>
          <t>deferred_revenue_current_usd_m</t>
        </is>
      </c>
      <c r="C62" t="n">
        <v>16.5</v>
      </c>
      <c r="D62" t="inlineStr">
        <is>
          <t>USD m</t>
        </is>
      </c>
      <c r="E62" t="inlineStr">
        <is>
          <t>comparative</t>
        </is>
      </c>
      <c r="F62" t="inlineStr">
        <is>
          <t>6-K EX-99.1</t>
        </is>
      </c>
      <c r="G62" t="inlineStr">
        <is>
          <t>2025-05-20</t>
        </is>
      </c>
      <c r="H62" t="inlineStr">
        <is>
          <t>0001104659-25-050975</t>
        </is>
      </c>
      <c r="I62" t="inlineStr"/>
      <c r="J62" t="inlineStr">
        <is>
          <t>https://www.sec.gov/Archives/edgar/data/1513845/000110465925050975/tm2515580d1_ex99-1.htm</t>
        </is>
      </c>
    </row>
    <row r="63">
      <c r="A63" t="inlineStr">
        <is>
          <t>2025Q1</t>
        </is>
      </c>
      <c r="B63" t="inlineStr">
        <is>
          <t>deferred_revenue_current_usd_m</t>
        </is>
      </c>
      <c r="C63" t="n">
        <v>19</v>
      </c>
      <c r="D63" t="inlineStr">
        <is>
          <t>USD m</t>
        </is>
      </c>
      <c r="E63" t="inlineStr"/>
      <c r="F63" t="inlineStr">
        <is>
          <t>6-K EX-99.1</t>
        </is>
      </c>
      <c r="G63" t="inlineStr">
        <is>
          <t>2025-05-20</t>
        </is>
      </c>
      <c r="H63" t="inlineStr">
        <is>
          <t>0001104659-25-050975</t>
        </is>
      </c>
      <c r="I63" t="inlineStr"/>
      <c r="J63" t="inlineStr">
        <is>
          <t>https://www.sec.gov/Archives/edgar/data/1513845/000110465925050975/tm2515580d1_ex99-1.htm</t>
        </is>
      </c>
    </row>
    <row r="64">
      <c r="A64" t="inlineStr">
        <is>
          <t>2025Q2</t>
        </is>
      </c>
      <c r="B64" t="inlineStr">
        <is>
          <t>deferred_revenue_current_usd_m</t>
        </is>
      </c>
      <c r="C64" t="n">
        <v>19.3</v>
      </c>
      <c r="D64" t="inlineStr">
        <is>
          <t>USD m</t>
        </is>
      </c>
      <c r="E64" t="inlineStr"/>
      <c r="F64" t="inlineStr">
        <is>
          <t>6-K EX-99.1</t>
        </is>
      </c>
      <c r="G64" t="inlineStr">
        <is>
          <t>2025-08-07</t>
        </is>
      </c>
      <c r="H64" t="inlineStr">
        <is>
          <t>0001104659-25-075028</t>
        </is>
      </c>
      <c r="I64" t="inlineStr"/>
      <c r="J64" t="inlineStr">
        <is>
          <t>https://www.sec.gov/Archives/edgar/data/1513845/000110465925075028/tm2522866d1_ex99-1.htm</t>
        </is>
      </c>
    </row>
    <row r="65">
      <c r="A65" t="inlineStr">
        <is>
          <t>2025Q3</t>
        </is>
      </c>
      <c r="B65" t="inlineStr">
        <is>
          <t>deferred_revenue_current_usd_m</t>
        </is>
      </c>
      <c r="C65" t="n">
        <v>15.6</v>
      </c>
      <c r="D65" t="inlineStr">
        <is>
          <t>USD m</t>
        </is>
      </c>
      <c r="E65" t="inlineStr"/>
      <c r="F65" t="inlineStr">
        <is>
          <t>6-K EX-99.1</t>
        </is>
      </c>
      <c r="G65" t="inlineStr">
        <is>
          <t>2025-11-12</t>
        </is>
      </c>
      <c r="H65" t="inlineStr">
        <is>
          <t>0001104659-25-109806</t>
        </is>
      </c>
      <c r="I65" t="inlineStr"/>
      <c r="J65" t="inlineStr">
        <is>
          <t>https://www.sec.gov/Archives/edgar/data/1513845/000110465925109806/tm2530882d1_ex99-1.htm</t>
        </is>
      </c>
    </row>
    <row r="66">
      <c r="A66" t="inlineStr">
        <is>
          <t>2025Q4</t>
        </is>
      </c>
      <c r="B66" t="inlineStr">
        <is>
          <t>deferred_revenue_current_usd_m</t>
        </is>
      </c>
      <c r="C66" t="n">
        <v>275.5</v>
      </c>
      <c r="D66" t="inlineStr">
        <is>
          <t>USD m</t>
        </is>
      </c>
      <c r="E66" t="inlineStr"/>
      <c r="F66" t="inlineStr">
        <is>
          <t>6-K EX-99.1</t>
        </is>
      </c>
      <c r="G66" t="inlineStr">
        <is>
          <t>2026-02-12</t>
        </is>
      </c>
      <c r="H66" t="inlineStr">
        <is>
          <t>0001104659-26-013946</t>
        </is>
      </c>
      <c r="I66" t="inlineStr"/>
      <c r="J66" t="inlineStr">
        <is>
          <t>https://www.sec.gov/Archives/edgar/data/1513845/000110465926013946/tm266173d1_ex99-1.htm</t>
        </is>
      </c>
    </row>
    <row r="67">
      <c r="A67" t="inlineStr">
        <is>
          <t>2026Q1</t>
        </is>
      </c>
      <c r="B67" t="inlineStr">
        <is>
          <t>deferred_revenue_current_usd_m</t>
        </is>
      </c>
      <c r="C67" t="n">
        <v>685.6</v>
      </c>
      <c r="D67" t="inlineStr">
        <is>
          <t>USD m</t>
        </is>
      </c>
      <c r="E67" t="inlineStr"/>
      <c r="F67" t="inlineStr">
        <is>
          <t>6-K EX-99.1</t>
        </is>
      </c>
      <c r="G67" t="inlineStr">
        <is>
          <t>2026-05-13</t>
        </is>
      </c>
      <c r="H67" t="inlineStr">
        <is>
          <t>0001104659-26-059872</t>
        </is>
      </c>
      <c r="I67" t="inlineStr"/>
      <c r="J67" t="inlineStr">
        <is>
          <t>https://www.sec.gov/Archives/edgar/data/1513845/000110465926059872/tm2614392d1_ex99-1.htm</t>
        </is>
      </c>
    </row>
    <row r="68">
      <c r="A68" t="inlineStr">
        <is>
          <t>2026Q2</t>
        </is>
      </c>
      <c r="B68" t="inlineStr">
        <is>
          <t>deferred_revenue_current_usd_m</t>
        </is>
      </c>
      <c r="C68" t="n">
        <v>979.4</v>
      </c>
      <c r="D68" t="inlineStr">
        <is>
          <t>USD m</t>
        </is>
      </c>
      <c r="E68" t="inlineStr"/>
      <c r="F68" t="inlineStr">
        <is>
          <t>6-K EX-99.1</t>
        </is>
      </c>
      <c r="G68" t="inlineStr">
        <is>
          <t>2026-08-12</t>
        </is>
      </c>
      <c r="H68" t="inlineStr">
        <is>
          <t>0001104659-26-094568</t>
        </is>
      </c>
      <c r="I68" t="inlineStr"/>
      <c r="J68" t="inlineStr">
        <is>
          <t>https://www.sec.gov/Archives/edgar/data/1513845/000110465926094568/tm2622968d1_ex99-1.htm</t>
        </is>
      </c>
    </row>
    <row r="69">
      <c r="A69" t="inlineStr">
        <is>
          <t>2024Q4</t>
        </is>
      </c>
      <c r="B69" t="inlineStr">
        <is>
          <t>deferred_revenue_non_current_usd_m</t>
        </is>
      </c>
      <c r="C69" t="n">
        <v>0</v>
      </c>
      <c r="D69" t="inlineStr">
        <is>
          <t>USD m</t>
        </is>
      </c>
      <c r="E69" t="inlineStr">
        <is>
          <t>not reported</t>
        </is>
      </c>
      <c r="F69" t="inlineStr">
        <is>
          <t>6-K EX-99.1</t>
        </is>
      </c>
      <c r="G69" t="inlineStr">
        <is>
          <t>2025-05-20</t>
        </is>
      </c>
      <c r="H69" t="inlineStr">
        <is>
          <t>0001104659-25-050975</t>
        </is>
      </c>
      <c r="I69" t="inlineStr"/>
      <c r="J69" t="inlineStr">
        <is>
          <t>https://www.sec.gov/Archives/edgar/data/1513845/000110465925050975/tm2515580d1_ex99-1.htm</t>
        </is>
      </c>
    </row>
    <row r="70">
      <c r="A70" t="inlineStr">
        <is>
          <t>2025Q1</t>
        </is>
      </c>
      <c r="B70" t="inlineStr">
        <is>
          <t>deferred_revenue_non_current_usd_m</t>
        </is>
      </c>
      <c r="C70" t="n">
        <v>0</v>
      </c>
      <c r="D70" t="inlineStr">
        <is>
          <t>USD m</t>
        </is>
      </c>
      <c r="E70" t="inlineStr">
        <is>
          <t>not reported</t>
        </is>
      </c>
      <c r="F70" t="inlineStr">
        <is>
          <t>6-K EX-99.1</t>
        </is>
      </c>
      <c r="G70" t="inlineStr">
        <is>
          <t>2025-05-20</t>
        </is>
      </c>
      <c r="H70" t="inlineStr">
        <is>
          <t>0001104659-25-050975</t>
        </is>
      </c>
      <c r="I70" t="inlineStr"/>
      <c r="J70" t="inlineStr">
        <is>
          <t>https://www.sec.gov/Archives/edgar/data/1513845/000110465925050975/tm2515580d1_ex99-1.htm</t>
        </is>
      </c>
    </row>
    <row r="71">
      <c r="A71" t="inlineStr">
        <is>
          <t>2025Q2</t>
        </is>
      </c>
      <c r="B71" t="inlineStr">
        <is>
          <t>deferred_revenue_non_current_usd_m</t>
        </is>
      </c>
      <c r="C71" t="n">
        <v>0</v>
      </c>
      <c r="D71" t="inlineStr">
        <is>
          <t>USD m</t>
        </is>
      </c>
      <c r="E71" t="inlineStr">
        <is>
          <t>not reported</t>
        </is>
      </c>
      <c r="F71" t="inlineStr">
        <is>
          <t>6-K EX-99.1</t>
        </is>
      </c>
      <c r="G71" t="inlineStr">
        <is>
          <t>2025-08-07</t>
        </is>
      </c>
      <c r="H71" t="inlineStr">
        <is>
          <t>0001104659-25-075028</t>
        </is>
      </c>
      <c r="I71" t="inlineStr"/>
      <c r="J71" t="inlineStr">
        <is>
          <t>https://www.sec.gov/Archives/edgar/data/1513845/000110465925075028/tm2522866d1_ex99-1.htm</t>
        </is>
      </c>
    </row>
    <row r="72">
      <c r="A72" t="inlineStr">
        <is>
          <t>2025Q3</t>
        </is>
      </c>
      <c r="B72" t="inlineStr">
        <is>
          <t>deferred_revenue_non_current_usd_m</t>
        </is>
      </c>
      <c r="C72" t="n">
        <v>0</v>
      </c>
      <c r="D72" t="inlineStr">
        <is>
          <t>USD m</t>
        </is>
      </c>
      <c r="E72" t="inlineStr">
        <is>
          <t>not reported</t>
        </is>
      </c>
      <c r="F72" t="inlineStr">
        <is>
          <t>6-K EX-99.1</t>
        </is>
      </c>
      <c r="G72" t="inlineStr">
        <is>
          <t>2025-11-12</t>
        </is>
      </c>
      <c r="H72" t="inlineStr">
        <is>
          <t>0001104659-25-109806</t>
        </is>
      </c>
      <c r="I72" t="inlineStr"/>
      <c r="J72" t="inlineStr">
        <is>
          <t>https://www.sec.gov/Archives/edgar/data/1513845/000110465925109806/tm2530882d1_ex99-1.htm</t>
        </is>
      </c>
    </row>
    <row r="73">
      <c r="A73" t="inlineStr">
        <is>
          <t>2025Q4</t>
        </is>
      </c>
      <c r="B73" t="inlineStr">
        <is>
          <t>deferred_revenue_non_current_usd_m</t>
        </is>
      </c>
      <c r="C73" t="n">
        <v>1302</v>
      </c>
      <c r="D73" t="inlineStr">
        <is>
          <t>USD m</t>
        </is>
      </c>
      <c r="E73" t="inlineStr"/>
      <c r="F73" t="inlineStr">
        <is>
          <t>6-K EX-99.1</t>
        </is>
      </c>
      <c r="G73" t="inlineStr">
        <is>
          <t>2026-02-12</t>
        </is>
      </c>
      <c r="H73" t="inlineStr">
        <is>
          <t>0001104659-26-013946</t>
        </is>
      </c>
      <c r="I73" t="inlineStr"/>
      <c r="J73" t="inlineStr">
        <is>
          <t>https://www.sec.gov/Archives/edgar/data/1513845/000110465926013946/tm266173d1_ex99-1.htm</t>
        </is>
      </c>
    </row>
    <row r="74">
      <c r="A74" t="inlineStr">
        <is>
          <t>2026Q1</t>
        </is>
      </c>
      <c r="B74" t="inlineStr">
        <is>
          <t>deferred_revenue_non_current_usd_m</t>
        </is>
      </c>
      <c r="C74" t="n">
        <v>4092.5</v>
      </c>
      <c r="D74" t="inlineStr">
        <is>
          <t>USD m</t>
        </is>
      </c>
      <c r="E74" t="inlineStr"/>
      <c r="F74" t="inlineStr">
        <is>
          <t>6-K EX-99.1</t>
        </is>
      </c>
      <c r="G74" t="inlineStr">
        <is>
          <t>2026-05-13</t>
        </is>
      </c>
      <c r="H74" t="inlineStr">
        <is>
          <t>0001104659-26-059872</t>
        </is>
      </c>
      <c r="I74" t="inlineStr"/>
      <c r="J74" t="inlineStr">
        <is>
          <t>https://www.sec.gov/Archives/edgar/data/1513845/000110465926059872/tm2614392d1_ex99-1.htm</t>
        </is>
      </c>
    </row>
    <row r="75">
      <c r="A75" t="inlineStr">
        <is>
          <t>2026Q2</t>
        </is>
      </c>
      <c r="B75" t="inlineStr">
        <is>
          <t>deferred_revenue_non_current_usd_m</t>
        </is>
      </c>
      <c r="C75" t="n">
        <v>4995.8</v>
      </c>
      <c r="D75" t="inlineStr">
        <is>
          <t>USD m</t>
        </is>
      </c>
      <c r="E75" t="inlineStr"/>
      <c r="F75" t="inlineStr">
        <is>
          <t>6-K EX-99.1</t>
        </is>
      </c>
      <c r="G75" t="inlineStr">
        <is>
          <t>2026-08-12</t>
        </is>
      </c>
      <c r="H75" t="inlineStr">
        <is>
          <t>0001104659-26-094568</t>
        </is>
      </c>
      <c r="I75" t="inlineStr"/>
      <c r="J75" t="inlineStr">
        <is>
          <t>https://www.sec.gov/Archives/edgar/data/1513845/000110465926094568/tm2622968d1_ex99-1.htm</t>
        </is>
      </c>
    </row>
    <row r="76">
      <c r="A76" t="inlineStr">
        <is>
          <t>2025Q3</t>
        </is>
      </c>
      <c r="B76" t="inlineStr">
        <is>
          <t>financing_cash_flow_usd_m</t>
        </is>
      </c>
      <c r="C76" t="n">
        <v>4200.6</v>
      </c>
      <c r="D76" t="inlineStr">
        <is>
          <t>USD m</t>
        </is>
      </c>
      <c r="E76" t="inlineStr"/>
      <c r="F76" t="inlineStr">
        <is>
          <t>6-K EX-99.1</t>
        </is>
      </c>
      <c r="G76" t="inlineStr">
        <is>
          <t>2025-11-12</t>
        </is>
      </c>
      <c r="H76" t="inlineStr">
        <is>
          <t>0001104659-25-109806</t>
        </is>
      </c>
      <c r="I76" t="inlineStr"/>
      <c r="J76" t="inlineStr">
        <is>
          <t>https://www.sec.gov/Archives/edgar/data/1513845/000110465925109806/tm2530882d1_ex99-1.htm</t>
        </is>
      </c>
    </row>
    <row r="77">
      <c r="A77" t="inlineStr">
        <is>
          <t>2025Q4</t>
        </is>
      </c>
      <c r="B77" t="inlineStr">
        <is>
          <t>financing_cash_flow_usd_m</t>
        </is>
      </c>
      <c r="C77" t="n">
        <v>106.4</v>
      </c>
      <c r="D77" t="inlineStr">
        <is>
          <t>USD m</t>
        </is>
      </c>
      <c r="E77" t="inlineStr"/>
      <c r="F77" t="inlineStr">
        <is>
          <t>6-K EX-99.1</t>
        </is>
      </c>
      <c r="G77" t="inlineStr">
        <is>
          <t>2026-02-12</t>
        </is>
      </c>
      <c r="H77" t="inlineStr">
        <is>
          <t>0001104659-26-013946</t>
        </is>
      </c>
      <c r="I77" t="inlineStr"/>
      <c r="J77" t="inlineStr">
        <is>
          <t>https://www.sec.gov/Archives/edgar/data/1513845/000110465926013946/tm266173d1_ex99-1.htm</t>
        </is>
      </c>
    </row>
    <row r="78">
      <c r="A78" t="inlineStr">
        <is>
          <t>2026Q1</t>
        </is>
      </c>
      <c r="B78" t="inlineStr">
        <is>
          <t>financing_cash_flow_usd_m</t>
        </is>
      </c>
      <c r="C78" t="n">
        <v>6295.5</v>
      </c>
      <c r="D78" t="inlineStr">
        <is>
          <t>USD m</t>
        </is>
      </c>
      <c r="E78" t="inlineStr"/>
      <c r="F78" t="inlineStr">
        <is>
          <t>6-K EX-99.1</t>
        </is>
      </c>
      <c r="G78" t="inlineStr">
        <is>
          <t>2026-05-13</t>
        </is>
      </c>
      <c r="H78" t="inlineStr">
        <is>
          <t>0001104659-26-059872</t>
        </is>
      </c>
      <c r="I78" t="inlineStr"/>
      <c r="J78" t="inlineStr">
        <is>
          <t>https://www.sec.gov/Archives/edgar/data/1513845/000110465926059872/tm2614392d1_ex99-1.htm</t>
        </is>
      </c>
    </row>
    <row r="79">
      <c r="A79" t="inlineStr">
        <is>
          <t>2026Q2</t>
        </is>
      </c>
      <c r="B79" t="inlineStr">
        <is>
          <t>financing_cash_flow_usd_m</t>
        </is>
      </c>
      <c r="C79" t="n">
        <v>2864.9</v>
      </c>
      <c r="D79" t="inlineStr">
        <is>
          <t>USD m</t>
        </is>
      </c>
      <c r="E79" t="inlineStr"/>
      <c r="F79" t="inlineStr">
        <is>
          <t>6-K EX-99.1</t>
        </is>
      </c>
      <c r="G79" t="inlineStr">
        <is>
          <t>2026-08-12</t>
        </is>
      </c>
      <c r="H79" t="inlineStr">
        <is>
          <t>0001104659-26-094568</t>
        </is>
      </c>
      <c r="I79" t="inlineStr"/>
      <c r="J79" t="inlineStr">
        <is>
          <t>https://www.sec.gov/Archives/edgar/data/1513845/000110465926094568/tm2622968d1_ex99-1.htm</t>
        </is>
      </c>
    </row>
    <row r="80">
      <c r="A80" t="inlineStr">
        <is>
          <t>2026Q2</t>
        </is>
      </c>
      <c r="B80" t="inlineStr">
        <is>
          <t>new_deal_payback_months</t>
        </is>
      </c>
      <c r="C80" t="n">
        <v>22</v>
      </c>
      <c r="D80" t="inlineStr">
        <is>
          <t>months</t>
        </is>
      </c>
      <c r="E80" t="inlineStr"/>
      <c r="F80" t="inlineStr">
        <is>
          <t>6-K EX-99.2</t>
        </is>
      </c>
      <c r="G80" t="inlineStr">
        <is>
          <t>2026-08-12</t>
        </is>
      </c>
      <c r="H80" t="inlineStr">
        <is>
          <t>0001104659-26-094568</t>
        </is>
      </c>
      <c r="I80" t="inlineStr"/>
      <c r="J80" t="inlineStr">
        <is>
          <t>https://www.sec.gov/Archives/edgar/data/1513845/000110465926094568/tm2622968d1_ex99-2.htm</t>
        </is>
      </c>
    </row>
    <row r="81">
      <c r="A81" t="inlineStr">
        <is>
          <t>2025Q1</t>
        </is>
      </c>
      <c r="B81" t="inlineStr">
        <is>
          <t>operating_cash_flow_usd_m</t>
        </is>
      </c>
      <c r="C81" t="n">
        <v>-184.1</v>
      </c>
      <c r="D81" t="inlineStr">
        <is>
          <t>USD m</t>
        </is>
      </c>
      <c r="E81" t="inlineStr">
        <is>
          <t>comparative</t>
        </is>
      </c>
      <c r="F81" t="inlineStr">
        <is>
          <t>6-K EX-99.1</t>
        </is>
      </c>
      <c r="G81" t="inlineStr">
        <is>
          <t>2026-05-13</t>
        </is>
      </c>
      <c r="H81" t="inlineStr">
        <is>
          <t>0001104659-26-059872</t>
        </is>
      </c>
      <c r="I81" t="inlineStr"/>
      <c r="J81" t="inlineStr">
        <is>
          <t>https://www.sec.gov/Archives/edgar/data/1513845/000110465926059872/tm2614392d1_ex99-1.htm</t>
        </is>
      </c>
    </row>
    <row r="82">
      <c r="A82" t="inlineStr">
        <is>
          <t>2025Q2</t>
        </is>
      </c>
      <c r="B82" t="inlineStr">
        <is>
          <t>operating_cash_flow_usd_m</t>
        </is>
      </c>
      <c r="C82" t="n">
        <v>-167.9</v>
      </c>
      <c r="D82" t="inlineStr">
        <is>
          <t>USD m</t>
        </is>
      </c>
      <c r="E82" t="inlineStr">
        <is>
          <t>comparative</t>
        </is>
      </c>
      <c r="F82" t="inlineStr">
        <is>
          <t>6-K EX-99.1</t>
        </is>
      </c>
      <c r="G82" t="inlineStr">
        <is>
          <t>2026-08-12</t>
        </is>
      </c>
      <c r="H82" t="inlineStr">
        <is>
          <t>0001104659-26-094568</t>
        </is>
      </c>
      <c r="I82" t="inlineStr"/>
      <c r="J82" t="inlineStr">
        <is>
          <t>https://www.sec.gov/Archives/edgar/data/1513845/000110465926094568/tm2622968d1_ex99-1.htm</t>
        </is>
      </c>
    </row>
    <row r="83">
      <c r="A83" t="inlineStr">
        <is>
          <t>2025Q3</t>
        </is>
      </c>
      <c r="B83" t="inlineStr">
        <is>
          <t>operating_cash_flow_usd_m</t>
        </is>
      </c>
      <c r="C83" t="n">
        <v>-80.59999999999999</v>
      </c>
      <c r="D83" t="inlineStr">
        <is>
          <t>USD m</t>
        </is>
      </c>
      <c r="E83" t="inlineStr"/>
      <c r="F83" t="inlineStr">
        <is>
          <t>6-K EX-99.1</t>
        </is>
      </c>
      <c r="G83" t="inlineStr">
        <is>
          <t>2025-11-12</t>
        </is>
      </c>
      <c r="H83" t="inlineStr">
        <is>
          <t>0001104659-25-109806</t>
        </is>
      </c>
      <c r="I83" t="inlineStr"/>
      <c r="J83" t="inlineStr">
        <is>
          <t>https://www.sec.gov/Archives/edgar/data/1513845/000110465925109806/tm2530882d1_ex99-1.htm</t>
        </is>
      </c>
    </row>
    <row r="84">
      <c r="A84" t="inlineStr">
        <is>
          <t>2025Q4</t>
        </is>
      </c>
      <c r="B84" t="inlineStr">
        <is>
          <t>operating_cash_flow_usd_m</t>
        </is>
      </c>
      <c r="C84" t="n">
        <v>834.3</v>
      </c>
      <c r="D84" t="inlineStr">
        <is>
          <t>USD m</t>
        </is>
      </c>
      <c r="E84" t="inlineStr"/>
      <c r="F84" t="inlineStr">
        <is>
          <t>6-K EX-99.1</t>
        </is>
      </c>
      <c r="G84" t="inlineStr">
        <is>
          <t>2026-02-12</t>
        </is>
      </c>
      <c r="H84" t="inlineStr">
        <is>
          <t>0001104659-26-013946</t>
        </is>
      </c>
      <c r="I84" t="inlineStr"/>
      <c r="J84" t="inlineStr">
        <is>
          <t>https://www.sec.gov/Archives/edgar/data/1513845/000110465926013946/tm266173d1_ex99-1.htm</t>
        </is>
      </c>
    </row>
    <row r="85">
      <c r="A85" t="inlineStr">
        <is>
          <t>2026Q1</t>
        </is>
      </c>
      <c r="B85" t="inlineStr">
        <is>
          <t>operating_cash_flow_usd_m</t>
        </is>
      </c>
      <c r="C85" t="n">
        <v>2258</v>
      </c>
      <c r="D85" t="inlineStr">
        <is>
          <t>USD m</t>
        </is>
      </c>
      <c r="E85" t="inlineStr"/>
      <c r="F85" t="inlineStr">
        <is>
          <t>6-K EX-99.1</t>
        </is>
      </c>
      <c r="G85" t="inlineStr">
        <is>
          <t>2026-05-13</t>
        </is>
      </c>
      <c r="H85" t="inlineStr">
        <is>
          <t>0001104659-26-059872</t>
        </is>
      </c>
      <c r="I85" t="inlineStr"/>
      <c r="J85" t="inlineStr">
        <is>
          <t>https://www.sec.gov/Archives/edgar/data/1513845/000110465926059872/tm2614392d1_ex99-1.htm</t>
        </is>
      </c>
    </row>
    <row r="86">
      <c r="A86" t="inlineStr">
        <is>
          <t>2026Q2</t>
        </is>
      </c>
      <c r="B86" t="inlineStr">
        <is>
          <t>operating_cash_flow_usd_m</t>
        </is>
      </c>
      <c r="C86" t="n">
        <v>2246.1</v>
      </c>
      <c r="D86" t="inlineStr">
        <is>
          <t>USD m</t>
        </is>
      </c>
      <c r="E86" t="inlineStr"/>
      <c r="F86" t="inlineStr">
        <is>
          <t>6-K EX-99.1</t>
        </is>
      </c>
      <c r="G86" t="inlineStr">
        <is>
          <t>2026-08-12</t>
        </is>
      </c>
      <c r="H86" t="inlineStr">
        <is>
          <t>0001104659-26-094568</t>
        </is>
      </c>
      <c r="I86" t="inlineStr"/>
      <c r="J86" t="inlineStr">
        <is>
          <t>https://www.sec.gov/Archives/edgar/data/1513845/000110465926094568/tm2622968d1_ex99-1.htm</t>
        </is>
      </c>
    </row>
    <row r="87">
      <c r="A87" t="inlineStr">
        <is>
          <t>2026Q2</t>
        </is>
      </c>
      <c r="B87" t="inlineStr">
        <is>
          <t>prepayments_expected_2026_usd_bn</t>
        </is>
      </c>
      <c r="C87" t="n">
        <v>9</v>
      </c>
      <c r="D87" t="inlineStr">
        <is>
          <t>USD bn</t>
        </is>
      </c>
      <c r="E87" t="inlineStr">
        <is>
          <t>more than</t>
        </is>
      </c>
      <c r="F87" t="inlineStr">
        <is>
          <t>6-K EX-99.2</t>
        </is>
      </c>
      <c r="G87" t="inlineStr">
        <is>
          <t>2026-08-12</t>
        </is>
      </c>
      <c r="H87" t="inlineStr">
        <is>
          <t>0001104659-26-094568</t>
        </is>
      </c>
      <c r="I87" t="inlineStr"/>
      <c r="J87" t="inlineStr">
        <is>
          <t>https://www.sec.gov/Archives/edgar/data/1513845/000110465926094568/tm2622968d1_ex99-2.htm</t>
        </is>
      </c>
    </row>
    <row r="88">
      <c r="A88" t="inlineStr">
        <is>
          <t>2026Q1</t>
        </is>
      </c>
      <c r="B88" t="inlineStr">
        <is>
          <t>revenue_guidance_2026_high_usd_m</t>
        </is>
      </c>
      <c r="C88" t="n">
        <v>3400</v>
      </c>
      <c r="D88" t="inlineStr">
        <is>
          <t>USD m</t>
        </is>
      </c>
      <c r="E88" t="inlineStr">
        <is>
          <t>range high</t>
        </is>
      </c>
      <c r="F88" t="inlineStr">
        <is>
          <t>6-K EX-99.2</t>
        </is>
      </c>
      <c r="G88" t="inlineStr">
        <is>
          <t>2026-05-13</t>
        </is>
      </c>
      <c r="H88" t="inlineStr">
        <is>
          <t>0001104659-26-059872</t>
        </is>
      </c>
      <c r="I88" t="inlineStr"/>
      <c r="J88" t="inlineStr">
        <is>
          <t>https://www.sec.gov/Archives/edgar/data/1513845/000110465926059872/tm2614392d1_ex99-2.htm</t>
        </is>
      </c>
    </row>
    <row r="89">
      <c r="A89" t="inlineStr">
        <is>
          <t>2026Q1</t>
        </is>
      </c>
      <c r="B89" t="inlineStr">
        <is>
          <t>revenue_guidance_2026_low_usd_m</t>
        </is>
      </c>
      <c r="C89" t="n">
        <v>3000</v>
      </c>
      <c r="D89" t="inlineStr">
        <is>
          <t>USD m</t>
        </is>
      </c>
      <c r="E89" t="inlineStr">
        <is>
          <t>range low</t>
        </is>
      </c>
      <c r="F89" t="inlineStr">
        <is>
          <t>6-K EX-99.2</t>
        </is>
      </c>
      <c r="G89" t="inlineStr">
        <is>
          <t>2026-05-13</t>
        </is>
      </c>
      <c r="H89" t="inlineStr">
        <is>
          <t>0001104659-26-059872</t>
        </is>
      </c>
      <c r="I89" t="inlineStr"/>
      <c r="J89" t="inlineStr">
        <is>
          <t>https://www.sec.gov/Archives/edgar/data/1513845/000110465926059872/tm2614392d1_ex99-2.htm</t>
        </is>
      </c>
    </row>
    <row r="90">
      <c r="A90" t="inlineStr">
        <is>
          <t>2024Q4</t>
        </is>
      </c>
      <c r="B90" t="inlineStr">
        <is>
          <t>revenue_usd_m</t>
        </is>
      </c>
      <c r="C90" t="n">
        <v>11.4</v>
      </c>
      <c r="D90" t="inlineStr">
        <is>
          <t>USD m</t>
        </is>
      </c>
      <c r="E90" t="inlineStr">
        <is>
          <t>comparative</t>
        </is>
      </c>
      <c r="F90" t="inlineStr">
        <is>
          <t>6-K EX-99.1</t>
        </is>
      </c>
      <c r="G90" t="inlineStr">
        <is>
          <t>2025-05-20</t>
        </is>
      </c>
      <c r="H90" t="inlineStr">
        <is>
          <t>0001104659-25-050975</t>
        </is>
      </c>
      <c r="I90" t="inlineStr"/>
      <c r="J90" t="inlineStr">
        <is>
          <t>https://www.sec.gov/Archives/edgar/data/1513845/000110465925050975/tm2515580d1_ex99-1.htm</t>
        </is>
      </c>
    </row>
    <row r="91">
      <c r="A91" t="inlineStr">
        <is>
          <t>2025Q1</t>
        </is>
      </c>
      <c r="B91" t="inlineStr">
        <is>
          <t>revenue_usd_m</t>
        </is>
      </c>
      <c r="C91" t="n">
        <v>55.3</v>
      </c>
      <c r="D91" t="inlineStr">
        <is>
          <t>USD m</t>
        </is>
      </c>
      <c r="E91" t="inlineStr"/>
      <c r="F91" t="inlineStr">
        <is>
          <t>6-K EX-99.1</t>
        </is>
      </c>
      <c r="G91" t="inlineStr">
        <is>
          <t>2025-05-20</t>
        </is>
      </c>
      <c r="H91" t="inlineStr">
        <is>
          <t>0001104659-25-050975</t>
        </is>
      </c>
      <c r="I91" t="inlineStr"/>
      <c r="J91" t="inlineStr">
        <is>
          <t>https://www.sec.gov/Archives/edgar/data/1513845/000110465925050975/tm2515580d1_ex99-1.htm</t>
        </is>
      </c>
    </row>
    <row r="92">
      <c r="A92" t="inlineStr">
        <is>
          <t>2025Q2</t>
        </is>
      </c>
      <c r="B92" t="inlineStr">
        <is>
          <t>revenue_usd_m</t>
        </is>
      </c>
      <c r="C92" t="n">
        <v>105.1</v>
      </c>
      <c r="D92" t="inlineStr">
        <is>
          <t>USD m</t>
        </is>
      </c>
      <c r="E92" t="inlineStr"/>
      <c r="F92" t="inlineStr">
        <is>
          <t>6-K EX-99.1</t>
        </is>
      </c>
      <c r="G92" t="inlineStr">
        <is>
          <t>2025-08-07</t>
        </is>
      </c>
      <c r="H92" t="inlineStr">
        <is>
          <t>0001104659-25-075028</t>
        </is>
      </c>
      <c r="I92" t="inlineStr"/>
      <c r="J92" t="inlineStr">
        <is>
          <t>https://www.sec.gov/Archives/edgar/data/1513845/000110465925075028/tm2522866d1_ex99-1.htm</t>
        </is>
      </c>
    </row>
    <row r="93">
      <c r="A93" t="inlineStr">
        <is>
          <t>2025Q3</t>
        </is>
      </c>
      <c r="B93" t="inlineStr">
        <is>
          <t>revenue_usd_m</t>
        </is>
      </c>
      <c r="C93" t="n">
        <v>146.1</v>
      </c>
      <c r="D93" t="inlineStr">
        <is>
          <t>USD m</t>
        </is>
      </c>
      <c r="E93" t="inlineStr"/>
      <c r="F93" t="inlineStr">
        <is>
          <t>6-K EX-99.1</t>
        </is>
      </c>
      <c r="G93" t="inlineStr">
        <is>
          <t>2025-11-12</t>
        </is>
      </c>
      <c r="H93" t="inlineStr">
        <is>
          <t>0001104659-25-109806</t>
        </is>
      </c>
      <c r="I93" t="inlineStr"/>
      <c r="J93" t="inlineStr">
        <is>
          <t>https://www.sec.gov/Archives/edgar/data/1513845/000110465925109806/tm2530882d1_ex99-1.htm</t>
        </is>
      </c>
    </row>
    <row r="94">
      <c r="A94" t="inlineStr">
        <is>
          <t>2025Q4</t>
        </is>
      </c>
      <c r="B94" t="inlineStr">
        <is>
          <t>revenue_usd_m</t>
        </is>
      </c>
      <c r="C94" t="n">
        <v>227.7</v>
      </c>
      <c r="D94" t="inlineStr">
        <is>
          <t>USD m</t>
        </is>
      </c>
      <c r="E94" t="inlineStr"/>
      <c r="F94" t="inlineStr">
        <is>
          <t>6-K EX-99.1</t>
        </is>
      </c>
      <c r="G94" t="inlineStr">
        <is>
          <t>2026-02-12</t>
        </is>
      </c>
      <c r="H94" t="inlineStr">
        <is>
          <t>0001104659-26-013946</t>
        </is>
      </c>
      <c r="I94" t="inlineStr"/>
      <c r="J94" t="inlineStr">
        <is>
          <t>https://www.sec.gov/Archives/edgar/data/1513845/000110465926013946/tm266173d1_ex99-1.htm</t>
        </is>
      </c>
    </row>
    <row r="95">
      <c r="A95" t="inlineStr">
        <is>
          <t>2026Q1</t>
        </is>
      </c>
      <c r="B95" t="inlineStr">
        <is>
          <t>revenue_usd_m</t>
        </is>
      </c>
      <c r="C95" t="n">
        <v>399</v>
      </c>
      <c r="D95" t="inlineStr">
        <is>
          <t>USD m</t>
        </is>
      </c>
      <c r="E95" t="inlineStr"/>
      <c r="F95" t="inlineStr">
        <is>
          <t>6-K EX-99.1</t>
        </is>
      </c>
      <c r="G95" t="inlineStr">
        <is>
          <t>2026-05-13</t>
        </is>
      </c>
      <c r="H95" t="inlineStr">
        <is>
          <t>0001104659-26-059872</t>
        </is>
      </c>
      <c r="I95" t="inlineStr"/>
      <c r="J95" t="inlineStr">
        <is>
          <t>https://www.sec.gov/Archives/edgar/data/1513845/000110465926059872/tm2614392d1_ex99-1.htm</t>
        </is>
      </c>
    </row>
    <row r="96">
      <c r="A96" t="inlineStr">
        <is>
          <t>2026Q2</t>
        </is>
      </c>
      <c r="B96" t="inlineStr">
        <is>
          <t>revenue_usd_m</t>
        </is>
      </c>
      <c r="C96" t="n">
        <v>582.3</v>
      </c>
      <c r="D96" t="inlineStr">
        <is>
          <t>USD m</t>
        </is>
      </c>
      <c r="E96" t="inlineStr"/>
      <c r="F96" t="inlineStr">
        <is>
          <t>6-K EX-99.1</t>
        </is>
      </c>
      <c r="G96" t="inlineStr">
        <is>
          <t>2026-08-12</t>
        </is>
      </c>
      <c r="H96" t="inlineStr">
        <is>
          <t>0001104659-26-094568</t>
        </is>
      </c>
      <c r="I96" t="inlineStr"/>
      <c r="J96" t="inlineStr">
        <is>
          <t>https://www.sec.gov/Archives/edgar/data/1513845/000110465926094568/tm2622968d1_ex99-1.htm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0" t="inlineStr">
        <is>
          <t>concept</t>
        </is>
      </c>
      <c r="B1" s="10" t="inlineStr">
        <is>
          <t>tag</t>
        </is>
      </c>
      <c r="C1" s="10" t="inlineStr">
        <is>
          <t>taxonomy</t>
        </is>
      </c>
      <c r="D1" s="10" t="inlineStr">
        <is>
          <t>unit</t>
        </is>
      </c>
      <c r="E1" s="10" t="inlineStr">
        <is>
          <t>start</t>
        </is>
      </c>
      <c r="F1" s="10" t="inlineStr">
        <is>
          <t>end</t>
        </is>
      </c>
      <c r="G1" s="10" t="inlineStr">
        <is>
          <t>val</t>
        </is>
      </c>
      <c r="H1" s="10" t="inlineStr">
        <is>
          <t>fy</t>
        </is>
      </c>
      <c r="I1" s="10" t="inlineStr">
        <is>
          <t>fp</t>
        </is>
      </c>
      <c r="J1" s="10" t="inlineStr">
        <is>
          <t>form</t>
        </is>
      </c>
      <c r="K1" s="10" t="inlineStr">
        <is>
          <t>filed</t>
        </is>
      </c>
      <c r="L1" s="10" t="inlineStr">
        <is>
          <t>accn</t>
        </is>
      </c>
      <c r="M1" s="10" t="inlineStr">
        <is>
          <t>frame</t>
        </is>
      </c>
    </row>
    <row r="2">
      <c r="A2" t="inlineStr">
        <is>
          <t>capex</t>
        </is>
      </c>
      <c r="B2" t="inlineStr">
        <is>
          <t>PaymentsToAcquirePropertyPlantAndEquipment</t>
        </is>
      </c>
      <c r="C2" t="inlineStr">
        <is>
          <t>us-gaap</t>
        </is>
      </c>
      <c r="D2" t="inlineStr">
        <is>
          <t>USD</t>
        </is>
      </c>
      <c r="E2" t="inlineStr">
        <is>
          <t>2011-01-01</t>
        </is>
      </c>
      <c r="F2" t="inlineStr">
        <is>
          <t>2011-12-31</t>
        </is>
      </c>
      <c r="G2" t="n">
        <v>172900000</v>
      </c>
      <c r="H2" t="n">
        <v>2011</v>
      </c>
      <c r="I2" t="inlineStr">
        <is>
          <t>FY</t>
        </is>
      </c>
      <c r="J2" t="inlineStr">
        <is>
          <t>20-F</t>
        </is>
      </c>
      <c r="K2" t="inlineStr">
        <is>
          <t>2012-03-02</t>
        </is>
      </c>
      <c r="L2" t="inlineStr">
        <is>
          <t>0001047469-12-002052</t>
        </is>
      </c>
      <c r="M2" t="inlineStr">
        <is>
          <t>CY2011</t>
        </is>
      </c>
    </row>
    <row r="3">
      <c r="A3" t="inlineStr">
        <is>
          <t>capex</t>
        </is>
      </c>
      <c r="B3" t="inlineStr">
        <is>
          <t>PaymentsToAcquirePropertyPlantAndEquipment</t>
        </is>
      </c>
      <c r="C3" t="inlineStr">
        <is>
          <t>us-gaap</t>
        </is>
      </c>
      <c r="D3" t="inlineStr">
        <is>
          <t>USD</t>
        </is>
      </c>
      <c r="E3" t="inlineStr">
        <is>
          <t>2012-01-01</t>
        </is>
      </c>
      <c r="F3" t="inlineStr">
        <is>
          <t>2012-12-31</t>
        </is>
      </c>
      <c r="G3" t="n">
        <v>131200000</v>
      </c>
      <c r="H3" t="n">
        <v>2012</v>
      </c>
      <c r="I3" t="inlineStr">
        <is>
          <t>FY</t>
        </is>
      </c>
      <c r="J3" t="inlineStr">
        <is>
          <t>20-F</t>
        </is>
      </c>
      <c r="K3" t="inlineStr">
        <is>
          <t>2013-04-09</t>
        </is>
      </c>
      <c r="L3" t="inlineStr">
        <is>
          <t>0001047469-13-004131</t>
        </is>
      </c>
      <c r="M3" t="inlineStr">
        <is>
          <t>CY2012</t>
        </is>
      </c>
    </row>
    <row r="4">
      <c r="A4" t="inlineStr">
        <is>
          <t>capex</t>
        </is>
      </c>
      <c r="B4" t="inlineStr">
        <is>
          <t>PaymentsToAcquirePropertyPlantAndEquipment</t>
        </is>
      </c>
      <c r="C4" t="inlineStr">
        <is>
          <t>us-gaap</t>
        </is>
      </c>
      <c r="D4" t="inlineStr">
        <is>
          <t>USD</t>
        </is>
      </c>
      <c r="E4" t="inlineStr">
        <is>
          <t>2013-01-01</t>
        </is>
      </c>
      <c r="F4" t="inlineStr">
        <is>
          <t>2013-12-31</t>
        </is>
      </c>
      <c r="G4" t="n">
        <v>150800000</v>
      </c>
      <c r="H4" t="n">
        <v>2013</v>
      </c>
      <c r="I4" t="inlineStr">
        <is>
          <t>FY</t>
        </is>
      </c>
      <c r="J4" t="inlineStr">
        <is>
          <t>20-F</t>
        </is>
      </c>
      <c r="K4" t="inlineStr">
        <is>
          <t>2014-04-04</t>
        </is>
      </c>
      <c r="L4" t="inlineStr">
        <is>
          <t>0001047469-14-003438</t>
        </is>
      </c>
      <c r="M4" t="inlineStr">
        <is>
          <t>CY2013</t>
        </is>
      </c>
    </row>
    <row r="5">
      <c r="A5" t="inlineStr">
        <is>
          <t>capex</t>
        </is>
      </c>
      <c r="B5" t="inlineStr">
        <is>
          <t>PaymentsToAcquirePropertyPlantAndEquipment</t>
        </is>
      </c>
      <c r="C5" t="inlineStr">
        <is>
          <t>us-gaap</t>
        </is>
      </c>
      <c r="D5" t="inlineStr">
        <is>
          <t>USD</t>
        </is>
      </c>
      <c r="E5" t="inlineStr">
        <is>
          <t>2014-01-01</t>
        </is>
      </c>
      <c r="F5" t="inlineStr">
        <is>
          <t>2014-12-31</t>
        </is>
      </c>
      <c r="G5" t="n">
        <v>172000000</v>
      </c>
      <c r="H5" t="n">
        <v>2014</v>
      </c>
      <c r="I5" t="inlineStr">
        <is>
          <t>FY</t>
        </is>
      </c>
      <c r="J5" t="inlineStr">
        <is>
          <t>20-F</t>
        </is>
      </c>
      <c r="K5" t="inlineStr">
        <is>
          <t>2015-04-30</t>
        </is>
      </c>
      <c r="L5" t="inlineStr">
        <is>
          <t>0001047469-15-004230</t>
        </is>
      </c>
      <c r="M5" t="inlineStr">
        <is>
          <t>CY2014</t>
        </is>
      </c>
    </row>
    <row r="6">
      <c r="A6" t="inlineStr">
        <is>
          <t>capex</t>
        </is>
      </c>
      <c r="B6" t="inlineStr">
        <is>
          <t>PaymentsToAcquirePropertyPlantAndEquipment</t>
        </is>
      </c>
      <c r="C6" t="inlineStr">
        <is>
          <t>us-gaap</t>
        </is>
      </c>
      <c r="D6" t="inlineStr">
        <is>
          <t>USD</t>
        </is>
      </c>
      <c r="E6" t="inlineStr">
        <is>
          <t>2015-01-01</t>
        </is>
      </c>
      <c r="F6" t="inlineStr">
        <is>
          <t>2015-12-31</t>
        </is>
      </c>
      <c r="G6" t="n">
        <v>179000000</v>
      </c>
      <c r="H6" t="n">
        <v>2015</v>
      </c>
      <c r="I6" t="inlineStr">
        <is>
          <t>FY</t>
        </is>
      </c>
      <c r="J6" t="inlineStr">
        <is>
          <t>20-F</t>
        </is>
      </c>
      <c r="K6" t="inlineStr">
        <is>
          <t>2016-03-22</t>
        </is>
      </c>
      <c r="L6" t="inlineStr">
        <is>
          <t>0001047469-16-011404</t>
        </is>
      </c>
      <c r="M6" t="inlineStr">
        <is>
          <t>CY2015</t>
        </is>
      </c>
    </row>
    <row r="7">
      <c r="A7" t="inlineStr">
        <is>
          <t>capex</t>
        </is>
      </c>
      <c r="B7" t="inlineStr">
        <is>
          <t>PaymentsToAcquirePropertyPlantAndEquipment</t>
        </is>
      </c>
      <c r="C7" t="inlineStr">
        <is>
          <t>us-gaap</t>
        </is>
      </c>
      <c r="D7" t="inlineStr">
        <is>
          <t>USD</t>
        </is>
      </c>
      <c r="E7" t="inlineStr">
        <is>
          <t>2016-01-01</t>
        </is>
      </c>
      <c r="F7" t="inlineStr">
        <is>
          <t>2016-12-31</t>
        </is>
      </c>
      <c r="G7" t="n">
        <v>158700000</v>
      </c>
      <c r="H7" t="n">
        <v>2016</v>
      </c>
      <c r="I7" t="inlineStr">
        <is>
          <t>FY</t>
        </is>
      </c>
      <c r="J7" t="inlineStr">
        <is>
          <t>20-F</t>
        </is>
      </c>
      <c r="K7" t="inlineStr">
        <is>
          <t>2017-03-22</t>
        </is>
      </c>
      <c r="L7" t="inlineStr">
        <is>
          <t>0001513845-17-000004</t>
        </is>
      </c>
      <c r="M7" t="inlineStr">
        <is>
          <t>CY2016</t>
        </is>
      </c>
    </row>
    <row r="8">
      <c r="A8" t="inlineStr">
        <is>
          <t>capex</t>
        </is>
      </c>
      <c r="B8" t="inlineStr">
        <is>
          <t>PaymentsToAcquirePropertyPlantAndEquipment</t>
        </is>
      </c>
      <c r="C8" t="inlineStr">
        <is>
          <t>us-gaap</t>
        </is>
      </c>
      <c r="D8" t="inlineStr">
        <is>
          <t>USD</t>
        </is>
      </c>
      <c r="E8" t="inlineStr">
        <is>
          <t>2017-01-01</t>
        </is>
      </c>
      <c r="F8" t="inlineStr">
        <is>
          <t>2017-12-31</t>
        </is>
      </c>
      <c r="G8" t="n">
        <v>215100000</v>
      </c>
      <c r="H8" t="n">
        <v>2017</v>
      </c>
      <c r="I8" t="inlineStr">
        <is>
          <t>FY</t>
        </is>
      </c>
      <c r="J8" t="inlineStr">
        <is>
          <t>20-F</t>
        </is>
      </c>
      <c r="K8" t="inlineStr">
        <is>
          <t>2018-03-27</t>
        </is>
      </c>
      <c r="L8" t="inlineStr">
        <is>
          <t>0001513845-18-000013</t>
        </is>
      </c>
      <c r="M8" t="inlineStr">
        <is>
          <t>CY2017</t>
        </is>
      </c>
    </row>
    <row r="9">
      <c r="A9" t="inlineStr">
        <is>
          <t>capex</t>
        </is>
      </c>
      <c r="B9" t="inlineStr">
        <is>
          <t>PaymentsToAcquirePropertyPlantAndEquipment</t>
        </is>
      </c>
      <c r="C9" t="inlineStr">
        <is>
          <t>us-gaap</t>
        </is>
      </c>
      <c r="D9" t="inlineStr">
        <is>
          <t>USD</t>
        </is>
      </c>
      <c r="E9" t="inlineStr">
        <is>
          <t>2018-01-01</t>
        </is>
      </c>
      <c r="F9" t="inlineStr">
        <is>
          <t>2018-12-31</t>
        </is>
      </c>
      <c r="G9" t="n">
        <v>407700000</v>
      </c>
      <c r="H9" t="n">
        <v>2018</v>
      </c>
      <c r="I9" t="inlineStr">
        <is>
          <t>FY</t>
        </is>
      </c>
      <c r="J9" t="inlineStr">
        <is>
          <t>20-F</t>
        </is>
      </c>
      <c r="K9" t="inlineStr">
        <is>
          <t>2019-04-19</t>
        </is>
      </c>
      <c r="L9" t="inlineStr">
        <is>
          <t>0001513845-19-000009</t>
        </is>
      </c>
      <c r="M9" t="inlineStr">
        <is>
          <t>CY2018</t>
        </is>
      </c>
    </row>
    <row r="10">
      <c r="A10" t="inlineStr">
        <is>
          <t>capex</t>
        </is>
      </c>
      <c r="B10" t="inlineStr">
        <is>
          <t>PaymentsToAcquirePropertyPlantAndEquipment</t>
        </is>
      </c>
      <c r="C10" t="inlineStr">
        <is>
          <t>us-gaap</t>
        </is>
      </c>
      <c r="D10" t="inlineStr">
        <is>
          <t>USD</t>
        </is>
      </c>
      <c r="E10" t="inlineStr">
        <is>
          <t>2019-01-01</t>
        </is>
      </c>
      <c r="F10" t="inlineStr">
        <is>
          <t>2019-12-31</t>
        </is>
      </c>
      <c r="G10" t="n">
        <v>260500000</v>
      </c>
      <c r="H10" t="n">
        <v>2019</v>
      </c>
      <c r="I10" t="inlineStr">
        <is>
          <t>FY</t>
        </is>
      </c>
      <c r="J10" t="inlineStr">
        <is>
          <t>20-F/A</t>
        </is>
      </c>
      <c r="K10" t="inlineStr">
        <is>
          <t>2020-04-02</t>
        </is>
      </c>
      <c r="L10" t="inlineStr">
        <is>
          <t>0001558370-20-003563</t>
        </is>
      </c>
      <c r="M10" t="inlineStr">
        <is>
          <t>CY2019</t>
        </is>
      </c>
    </row>
    <row r="11">
      <c r="A11" t="inlineStr">
        <is>
          <t>capex</t>
        </is>
      </c>
      <c r="B11" t="inlineStr">
        <is>
          <t>PaymentsToAcquirePropertyPlantAndEquipment</t>
        </is>
      </c>
      <c r="C11" t="inlineStr">
        <is>
          <t>us-gaap</t>
        </is>
      </c>
      <c r="D11" t="inlineStr">
        <is>
          <t>USD</t>
        </is>
      </c>
      <c r="E11" t="inlineStr">
        <is>
          <t>2020-01-01</t>
        </is>
      </c>
      <c r="F11" t="inlineStr">
        <is>
          <t>2020-12-31</t>
        </is>
      </c>
      <c r="G11" t="n">
        <v>332300000</v>
      </c>
      <c r="H11" t="n">
        <v>2020</v>
      </c>
      <c r="I11" t="inlineStr">
        <is>
          <t>FY</t>
        </is>
      </c>
      <c r="J11" t="inlineStr">
        <is>
          <t>20-F</t>
        </is>
      </c>
      <c r="K11" t="inlineStr">
        <is>
          <t>2021-04-01</t>
        </is>
      </c>
      <c r="L11" t="inlineStr">
        <is>
          <t>0001513845-21-000014</t>
        </is>
      </c>
      <c r="M11" t="inlineStr">
        <is>
          <t>CY2020</t>
        </is>
      </c>
    </row>
    <row r="12">
      <c r="A12" t="inlineStr">
        <is>
          <t>capex</t>
        </is>
      </c>
      <c r="B12" t="inlineStr">
        <is>
          <t>PaymentsToAcquirePropertyPlantAndEquipment</t>
        </is>
      </c>
      <c r="C12" t="inlineStr">
        <is>
          <t>us-gaap</t>
        </is>
      </c>
      <c r="D12" t="inlineStr">
        <is>
          <t>USD</t>
        </is>
      </c>
      <c r="E12" t="inlineStr">
        <is>
          <t>2021-01-01</t>
        </is>
      </c>
      <c r="F12" t="inlineStr">
        <is>
          <t>2021-12-31</t>
        </is>
      </c>
      <c r="G12" t="n">
        <v>600600000</v>
      </c>
      <c r="H12" t="n">
        <v>2021</v>
      </c>
      <c r="I12" t="inlineStr">
        <is>
          <t>FY</t>
        </is>
      </c>
      <c r="J12" t="inlineStr">
        <is>
          <t>20-F</t>
        </is>
      </c>
      <c r="K12" t="inlineStr">
        <is>
          <t>2022-04-20</t>
        </is>
      </c>
      <c r="L12" t="inlineStr">
        <is>
          <t>0001558370-22-005654</t>
        </is>
      </c>
      <c r="M12" t="inlineStr">
        <is>
          <t>CY2021</t>
        </is>
      </c>
    </row>
    <row r="13">
      <c r="A13" t="inlineStr">
        <is>
          <t>capex</t>
        </is>
      </c>
      <c r="B13" t="inlineStr">
        <is>
          <t>PaymentsToAcquirePropertyPlantAndEquipment</t>
        </is>
      </c>
      <c r="C13" t="inlineStr">
        <is>
          <t>us-gaap</t>
        </is>
      </c>
      <c r="D13" t="inlineStr">
        <is>
          <t>USD</t>
        </is>
      </c>
      <c r="E13" t="inlineStr">
        <is>
          <t>2022-01-01</t>
        </is>
      </c>
      <c r="F13" t="inlineStr">
        <is>
          <t>2022-12-31</t>
        </is>
      </c>
      <c r="G13" t="n">
        <v>718600000</v>
      </c>
      <c r="H13" t="n">
        <v>2022</v>
      </c>
      <c r="I13" t="inlineStr">
        <is>
          <t>FY</t>
        </is>
      </c>
      <c r="J13" t="inlineStr">
        <is>
          <t>20-F</t>
        </is>
      </c>
      <c r="K13" t="inlineStr">
        <is>
          <t>2023-04-20</t>
        </is>
      </c>
      <c r="L13" t="inlineStr">
        <is>
          <t>0001558370-23-006319</t>
        </is>
      </c>
    </row>
    <row r="14">
      <c r="A14" t="inlineStr">
        <is>
          <t>capex</t>
        </is>
      </c>
      <c r="B14" t="inlineStr">
        <is>
          <t>PaymentsToAcquirePropertyPlantAndEquipment</t>
        </is>
      </c>
      <c r="C14" t="inlineStr">
        <is>
          <t>us-gaap</t>
        </is>
      </c>
      <c r="D14" t="inlineStr">
        <is>
          <t>USD</t>
        </is>
      </c>
      <c r="E14" t="inlineStr">
        <is>
          <t>2022-01-01</t>
        </is>
      </c>
      <c r="F14" t="inlineStr">
        <is>
          <t>2022-12-31</t>
        </is>
      </c>
      <c r="G14" t="n">
        <v>14600000</v>
      </c>
      <c r="H14" t="n">
        <v>2024</v>
      </c>
      <c r="I14" t="inlineStr">
        <is>
          <t>FY</t>
        </is>
      </c>
      <c r="J14" t="inlineStr">
        <is>
          <t>20-F</t>
        </is>
      </c>
      <c r="K14" t="inlineStr">
        <is>
          <t>2025-04-30</t>
        </is>
      </c>
      <c r="L14" t="inlineStr">
        <is>
          <t>0001558370-25-005991</t>
        </is>
      </c>
      <c r="M14" t="inlineStr">
        <is>
          <t>CY2022</t>
        </is>
      </c>
    </row>
    <row r="15">
      <c r="A15" t="inlineStr">
        <is>
          <t>capex</t>
        </is>
      </c>
      <c r="B15" t="inlineStr">
        <is>
          <t>PaymentsToAcquirePropertyPlantAndEquipment</t>
        </is>
      </c>
      <c r="C15" t="inlineStr">
        <is>
          <t>us-gaap</t>
        </is>
      </c>
      <c r="D15" t="inlineStr">
        <is>
          <t>USD</t>
        </is>
      </c>
      <c r="E15" t="inlineStr">
        <is>
          <t>2023-01-01</t>
        </is>
      </c>
      <c r="F15" t="inlineStr">
        <is>
          <t>2023-12-31</t>
        </is>
      </c>
      <c r="G15" t="n">
        <v>1010600000</v>
      </c>
      <c r="H15" t="n">
        <v>2023</v>
      </c>
      <c r="I15" t="inlineStr">
        <is>
          <t>FY</t>
        </is>
      </c>
      <c r="J15" t="inlineStr">
        <is>
          <t>20-F</t>
        </is>
      </c>
      <c r="K15" t="inlineStr">
        <is>
          <t>2024-04-26</t>
        </is>
      </c>
      <c r="L15" t="inlineStr">
        <is>
          <t>0001558370-24-005891</t>
        </is>
      </c>
    </row>
    <row r="16">
      <c r="A16" t="inlineStr">
        <is>
          <t>capex</t>
        </is>
      </c>
      <c r="B16" t="inlineStr">
        <is>
          <t>PaymentsToAcquirePropertyPlantAndEquipment</t>
        </is>
      </c>
      <c r="C16" t="inlineStr">
        <is>
          <t>us-gaap</t>
        </is>
      </c>
      <c r="D16" t="inlineStr">
        <is>
          <t>USD</t>
        </is>
      </c>
      <c r="E16" t="inlineStr">
        <is>
          <t>2023-01-01</t>
        </is>
      </c>
      <c r="F16" t="inlineStr">
        <is>
          <t>2023-12-31</t>
        </is>
      </c>
      <c r="G16" t="n">
        <v>83400000</v>
      </c>
      <c r="H16" t="n">
        <v>2024</v>
      </c>
      <c r="I16" t="inlineStr">
        <is>
          <t>FY</t>
        </is>
      </c>
      <c r="J16" t="inlineStr">
        <is>
          <t>20-F</t>
        </is>
      </c>
      <c r="K16" t="inlineStr">
        <is>
          <t>2025-04-30</t>
        </is>
      </c>
      <c r="L16" t="inlineStr">
        <is>
          <t>0001558370-25-005991</t>
        </is>
      </c>
    </row>
    <row r="17">
      <c r="A17" t="inlineStr">
        <is>
          <t>capex</t>
        </is>
      </c>
      <c r="B17" t="inlineStr">
        <is>
          <t>PaymentsToAcquirePropertyPlantAndEquipment</t>
        </is>
      </c>
      <c r="C17" t="inlineStr">
        <is>
          <t>us-gaap</t>
        </is>
      </c>
      <c r="D17" t="inlineStr">
        <is>
          <t>USD</t>
        </is>
      </c>
      <c r="E17" t="inlineStr">
        <is>
          <t>2023-01-01</t>
        </is>
      </c>
      <c r="F17" t="inlineStr">
        <is>
          <t>2023-12-31</t>
        </is>
      </c>
      <c r="G17" t="n">
        <v>82900000</v>
      </c>
      <c r="H17" t="n">
        <v>2025</v>
      </c>
      <c r="I17" t="inlineStr">
        <is>
          <t>FY</t>
        </is>
      </c>
      <c r="J17" t="inlineStr">
        <is>
          <t>20-F</t>
        </is>
      </c>
      <c r="K17" t="inlineStr">
        <is>
          <t>2026-04-30</t>
        </is>
      </c>
      <c r="L17" t="inlineStr">
        <is>
          <t>0001104659-26-052948</t>
        </is>
      </c>
      <c r="M17" t="inlineStr">
        <is>
          <t>CY2023</t>
        </is>
      </c>
    </row>
    <row r="18">
      <c r="A18" t="inlineStr">
        <is>
          <t>capex</t>
        </is>
      </c>
      <c r="B18" t="inlineStr">
        <is>
          <t>PaymentsToAcquirePropertyPlantAndEquipment</t>
        </is>
      </c>
      <c r="C18" t="inlineStr">
        <is>
          <t>us-gaap</t>
        </is>
      </c>
      <c r="D18" t="inlineStr">
        <is>
          <t>USD</t>
        </is>
      </c>
      <c r="E18" t="inlineStr">
        <is>
          <t>2024-01-01</t>
        </is>
      </c>
      <c r="F18" t="inlineStr">
        <is>
          <t>2024-12-31</t>
        </is>
      </c>
      <c r="G18" t="n">
        <v>807700000</v>
      </c>
      <c r="H18" t="n">
        <v>2024</v>
      </c>
      <c r="I18" t="inlineStr">
        <is>
          <t>FY</t>
        </is>
      </c>
      <c r="J18" t="inlineStr">
        <is>
          <t>20-F</t>
        </is>
      </c>
      <c r="K18" t="inlineStr">
        <is>
          <t>2025-04-30</t>
        </is>
      </c>
      <c r="L18" t="inlineStr">
        <is>
          <t>0001558370-25-005991</t>
        </is>
      </c>
    </row>
    <row r="19">
      <c r="A19" t="inlineStr">
        <is>
          <t>capex</t>
        </is>
      </c>
      <c r="B19" t="inlineStr">
        <is>
          <t>PaymentsToAcquirePropertyPlantAndEquipment</t>
        </is>
      </c>
      <c r="C19" t="inlineStr">
        <is>
          <t>us-gaap</t>
        </is>
      </c>
      <c r="D19" t="inlineStr">
        <is>
          <t>USD</t>
        </is>
      </c>
      <c r="E19" t="inlineStr">
        <is>
          <t>2024-01-01</t>
        </is>
      </c>
      <c r="F19" t="inlineStr">
        <is>
          <t>2024-12-31</t>
        </is>
      </c>
      <c r="G19" t="n">
        <v>807500000</v>
      </c>
      <c r="H19" t="n">
        <v>2025</v>
      </c>
      <c r="I19" t="inlineStr">
        <is>
          <t>FY</t>
        </is>
      </c>
      <c r="J19" t="inlineStr">
        <is>
          <t>20-F</t>
        </is>
      </c>
      <c r="K19" t="inlineStr">
        <is>
          <t>2026-04-30</t>
        </is>
      </c>
      <c r="L19" t="inlineStr">
        <is>
          <t>0001104659-26-052948</t>
        </is>
      </c>
      <c r="M19" t="inlineStr">
        <is>
          <t>CY2024</t>
        </is>
      </c>
    </row>
    <row r="20">
      <c r="A20" t="inlineStr">
        <is>
          <t>capex</t>
        </is>
      </c>
      <c r="B20" t="inlineStr">
        <is>
          <t>PaymentsToAcquirePropertyPlantAndEquipment</t>
        </is>
      </c>
      <c r="C20" t="inlineStr">
        <is>
          <t>us-gaap</t>
        </is>
      </c>
      <c r="D20" t="inlineStr">
        <is>
          <t>USD</t>
        </is>
      </c>
      <c r="E20" t="inlineStr">
        <is>
          <t>2025-01-01</t>
        </is>
      </c>
      <c r="F20" t="inlineStr">
        <is>
          <t>2025-12-31</t>
        </is>
      </c>
      <c r="G20" t="n">
        <v>4066000000</v>
      </c>
      <c r="H20" t="n">
        <v>2025</v>
      </c>
      <c r="I20" t="inlineStr">
        <is>
          <t>FY</t>
        </is>
      </c>
      <c r="J20" t="inlineStr">
        <is>
          <t>20-F</t>
        </is>
      </c>
      <c r="K20" t="inlineStr">
        <is>
          <t>2026-04-30</t>
        </is>
      </c>
      <c r="L20" t="inlineStr">
        <is>
          <t>0001104659-26-052948</t>
        </is>
      </c>
      <c r="M20" t="inlineStr">
        <is>
          <t>CY2025</t>
        </is>
      </c>
    </row>
    <row r="21">
      <c r="A21" t="inlineStr">
        <is>
          <t>cash</t>
        </is>
      </c>
      <c r="B21" t="inlineStr">
        <is>
          <t>CashAndCashEquivalentsAtCarryingValue</t>
        </is>
      </c>
      <c r="C21" t="inlineStr">
        <is>
          <t>us-gaap</t>
        </is>
      </c>
      <c r="D21" t="inlineStr">
        <is>
          <t>USD</t>
        </is>
      </c>
      <c r="F21" t="inlineStr">
        <is>
          <t>2010-12-31</t>
        </is>
      </c>
      <c r="G21" t="n">
        <v>104700000</v>
      </c>
      <c r="H21" t="n">
        <v>2011</v>
      </c>
      <c r="I21" t="inlineStr">
        <is>
          <t>FY</t>
        </is>
      </c>
      <c r="J21" t="inlineStr">
        <is>
          <t>20-F</t>
        </is>
      </c>
      <c r="K21" t="inlineStr">
        <is>
          <t>2012-03-02</t>
        </is>
      </c>
      <c r="L21" t="inlineStr">
        <is>
          <t>0001047469-12-002052</t>
        </is>
      </c>
      <c r="M21" t="inlineStr">
        <is>
          <t>CY2010Q4I</t>
        </is>
      </c>
    </row>
    <row r="22">
      <c r="A22" t="inlineStr">
        <is>
          <t>cash</t>
        </is>
      </c>
      <c r="B22" t="inlineStr">
        <is>
          <t>CashAndCashEquivalentsAtCarryingValue</t>
        </is>
      </c>
      <c r="C22" t="inlineStr">
        <is>
          <t>us-gaap</t>
        </is>
      </c>
      <c r="D22" t="inlineStr">
        <is>
          <t>USD</t>
        </is>
      </c>
      <c r="F22" t="inlineStr">
        <is>
          <t>2011-12-31</t>
        </is>
      </c>
      <c r="G22" t="n">
        <v>196400000</v>
      </c>
      <c r="H22" t="n">
        <v>2011</v>
      </c>
      <c r="I22" t="inlineStr">
        <is>
          <t>FY</t>
        </is>
      </c>
      <c r="J22" t="inlineStr">
        <is>
          <t>20-F</t>
        </is>
      </c>
      <c r="K22" t="inlineStr">
        <is>
          <t>2012-03-02</t>
        </is>
      </c>
      <c r="L22" t="inlineStr">
        <is>
          <t>0001047469-12-002052</t>
        </is>
      </c>
    </row>
    <row r="23">
      <c r="A23" t="inlineStr">
        <is>
          <t>cash</t>
        </is>
      </c>
      <c r="B23" t="inlineStr">
        <is>
          <t>CashAndCashEquivalentsAtCarryingValue</t>
        </is>
      </c>
      <c r="C23" t="inlineStr">
        <is>
          <t>us-gaap</t>
        </is>
      </c>
      <c r="D23" t="inlineStr">
        <is>
          <t>USD</t>
        </is>
      </c>
      <c r="F23" t="inlineStr">
        <is>
          <t>2011-12-31</t>
        </is>
      </c>
      <c r="G23" t="n">
        <v>195200000</v>
      </c>
      <c r="H23" t="n">
        <v>2012</v>
      </c>
      <c r="I23" t="inlineStr">
        <is>
          <t>FY</t>
        </is>
      </c>
      <c r="J23" t="inlineStr">
        <is>
          <t>20-F</t>
        </is>
      </c>
      <c r="K23" t="inlineStr">
        <is>
          <t>2013-04-09</t>
        </is>
      </c>
      <c r="L23" t="inlineStr">
        <is>
          <t>0001047469-13-004131</t>
        </is>
      </c>
      <c r="M23" t="inlineStr">
        <is>
          <t>CY2011Q4I</t>
        </is>
      </c>
    </row>
    <row r="24">
      <c r="A24" t="inlineStr">
        <is>
          <t>cash</t>
        </is>
      </c>
      <c r="B24" t="inlineStr">
        <is>
          <t>CashAndCashEquivalentsAtCarryingValue</t>
        </is>
      </c>
      <c r="C24" t="inlineStr">
        <is>
          <t>us-gaap</t>
        </is>
      </c>
      <c r="D24" t="inlineStr">
        <is>
          <t>USD</t>
        </is>
      </c>
      <c r="F24" t="inlineStr">
        <is>
          <t>2012-12-31</t>
        </is>
      </c>
      <c r="G24" t="n">
        <v>244500000</v>
      </c>
      <c r="H24" t="n">
        <v>2012</v>
      </c>
      <c r="I24" t="inlineStr">
        <is>
          <t>FY</t>
        </is>
      </c>
      <c r="J24" t="inlineStr">
        <is>
          <t>20-F</t>
        </is>
      </c>
      <c r="K24" t="inlineStr">
        <is>
          <t>2013-04-09</t>
        </is>
      </c>
      <c r="L24" t="inlineStr">
        <is>
          <t>0001047469-13-004131</t>
        </is>
      </c>
    </row>
    <row r="25">
      <c r="A25" t="inlineStr">
        <is>
          <t>cash</t>
        </is>
      </c>
      <c r="B25" t="inlineStr">
        <is>
          <t>CashAndCashEquivalentsAtCarryingValue</t>
        </is>
      </c>
      <c r="C25" t="inlineStr">
        <is>
          <t>us-gaap</t>
        </is>
      </c>
      <c r="D25" t="inlineStr">
        <is>
          <t>USD</t>
        </is>
      </c>
      <c r="F25" t="inlineStr">
        <is>
          <t>2012-12-31</t>
        </is>
      </c>
      <c r="G25" t="n">
        <v>226900000</v>
      </c>
      <c r="H25" t="n">
        <v>2013</v>
      </c>
      <c r="I25" t="inlineStr">
        <is>
          <t>FY</t>
        </is>
      </c>
      <c r="J25" t="inlineStr">
        <is>
          <t>20-F</t>
        </is>
      </c>
      <c r="K25" t="inlineStr">
        <is>
          <t>2014-04-04</t>
        </is>
      </c>
      <c r="L25" t="inlineStr">
        <is>
          <t>0001047469-14-003438</t>
        </is>
      </c>
      <c r="M25" t="inlineStr">
        <is>
          <t>CY2012Q4I</t>
        </is>
      </c>
    </row>
    <row r="26">
      <c r="A26" t="inlineStr">
        <is>
          <t>cash</t>
        </is>
      </c>
      <c r="B26" t="inlineStr">
        <is>
          <t>CashAndCashEquivalentsAtCarryingValue</t>
        </is>
      </c>
      <c r="C26" t="inlineStr">
        <is>
          <t>us-gaap</t>
        </is>
      </c>
      <c r="D26" t="inlineStr">
        <is>
          <t>USD</t>
        </is>
      </c>
      <c r="F26" t="inlineStr">
        <is>
          <t>2013-12-31</t>
        </is>
      </c>
      <c r="G26" t="n">
        <v>1020300000</v>
      </c>
      <c r="H26" t="n">
        <v>2013</v>
      </c>
      <c r="I26" t="inlineStr">
        <is>
          <t>FY</t>
        </is>
      </c>
      <c r="J26" t="inlineStr">
        <is>
          <t>20-F</t>
        </is>
      </c>
      <c r="K26" t="inlineStr">
        <is>
          <t>2014-04-04</t>
        </is>
      </c>
      <c r="L26" t="inlineStr">
        <is>
          <t>0001047469-14-003438</t>
        </is>
      </c>
    </row>
    <row r="27">
      <c r="A27" t="inlineStr">
        <is>
          <t>cash</t>
        </is>
      </c>
      <c r="B27" t="inlineStr">
        <is>
          <t>CashAndCashEquivalentsAtCarryingValue</t>
        </is>
      </c>
      <c r="C27" t="inlineStr">
        <is>
          <t>us-gaap</t>
        </is>
      </c>
      <c r="D27" t="inlineStr">
        <is>
          <t>USD</t>
        </is>
      </c>
      <c r="F27" t="inlineStr">
        <is>
          <t>2013-12-31</t>
        </is>
      </c>
      <c r="G27" t="n">
        <v>593600000</v>
      </c>
      <c r="H27" t="n">
        <v>2014</v>
      </c>
      <c r="I27" t="inlineStr">
        <is>
          <t>FY</t>
        </is>
      </c>
      <c r="J27" t="inlineStr">
        <is>
          <t>20-F</t>
        </is>
      </c>
      <c r="K27" t="inlineStr">
        <is>
          <t>2015-04-30</t>
        </is>
      </c>
      <c r="L27" t="inlineStr">
        <is>
          <t>0001047469-15-004230</t>
        </is>
      </c>
      <c r="M27" t="inlineStr">
        <is>
          <t>CY2013Q4I</t>
        </is>
      </c>
    </row>
    <row r="28">
      <c r="A28" t="inlineStr">
        <is>
          <t>cash</t>
        </is>
      </c>
      <c r="B28" t="inlineStr">
        <is>
          <t>CashAndCashEquivalentsAtCarryingValue</t>
        </is>
      </c>
      <c r="C28" t="inlineStr">
        <is>
          <t>us-gaap</t>
        </is>
      </c>
      <c r="D28" t="inlineStr">
        <is>
          <t>USD</t>
        </is>
      </c>
      <c r="F28" t="inlineStr">
        <is>
          <t>2014-12-31</t>
        </is>
      </c>
      <c r="G28" t="n">
        <v>313600000</v>
      </c>
      <c r="H28" t="n">
        <v>2014</v>
      </c>
      <c r="I28" t="inlineStr">
        <is>
          <t>FY</t>
        </is>
      </c>
      <c r="J28" t="inlineStr">
        <is>
          <t>20-F</t>
        </is>
      </c>
      <c r="K28" t="inlineStr">
        <is>
          <t>2015-04-30</t>
        </is>
      </c>
      <c r="L28" t="inlineStr">
        <is>
          <t>0001047469-15-004230</t>
        </is>
      </c>
    </row>
    <row r="29">
      <c r="A29" t="inlineStr">
        <is>
          <t>cash</t>
        </is>
      </c>
      <c r="B29" t="inlineStr">
        <is>
          <t>CashAndCashEquivalentsAtCarryingValue</t>
        </is>
      </c>
      <c r="C29" t="inlineStr">
        <is>
          <t>us-gaap</t>
        </is>
      </c>
      <c r="D29" t="inlineStr">
        <is>
          <t>USD</t>
        </is>
      </c>
      <c r="F29" t="inlineStr">
        <is>
          <t>2014-12-31</t>
        </is>
      </c>
      <c r="G29" t="n">
        <v>242100000</v>
      </c>
      <c r="H29" t="n">
        <v>2015</v>
      </c>
      <c r="I29" t="inlineStr">
        <is>
          <t>FY</t>
        </is>
      </c>
      <c r="J29" t="inlineStr">
        <is>
          <t>20-F</t>
        </is>
      </c>
      <c r="K29" t="inlineStr">
        <is>
          <t>2016-03-22</t>
        </is>
      </c>
      <c r="L29" t="inlineStr">
        <is>
          <t>0001047469-16-011404</t>
        </is>
      </c>
      <c r="M29" t="inlineStr">
        <is>
          <t>CY2014Q4I</t>
        </is>
      </c>
    </row>
    <row r="30">
      <c r="A30" t="inlineStr">
        <is>
          <t>cash</t>
        </is>
      </c>
      <c r="B30" t="inlineStr">
        <is>
          <t>CashAndCashEquivalentsAtCarryingValue</t>
        </is>
      </c>
      <c r="C30" t="inlineStr">
        <is>
          <t>us-gaap</t>
        </is>
      </c>
      <c r="D30" t="inlineStr">
        <is>
          <t>USD</t>
        </is>
      </c>
      <c r="F30" t="inlineStr">
        <is>
          <t>2015-12-31</t>
        </is>
      </c>
      <c r="G30" t="n">
        <v>332600000</v>
      </c>
      <c r="H30" t="n">
        <v>2015</v>
      </c>
      <c r="I30" t="inlineStr">
        <is>
          <t>FY</t>
        </is>
      </c>
      <c r="J30" t="inlineStr">
        <is>
          <t>20-F</t>
        </is>
      </c>
      <c r="K30" t="inlineStr">
        <is>
          <t>2016-03-22</t>
        </is>
      </c>
      <c r="L30" t="inlineStr">
        <is>
          <t>0001047469-16-011404</t>
        </is>
      </c>
    </row>
    <row r="31">
      <c r="A31" t="inlineStr">
        <is>
          <t>cash</t>
        </is>
      </c>
      <c r="B31" t="inlineStr">
        <is>
          <t>CashAndCashEquivalentsAtCarryingValue</t>
        </is>
      </c>
      <c r="C31" t="inlineStr">
        <is>
          <t>us-gaap</t>
        </is>
      </c>
      <c r="D31" t="inlineStr">
        <is>
          <t>USD</t>
        </is>
      </c>
      <c r="F31" t="inlineStr">
        <is>
          <t>2015-12-31</t>
        </is>
      </c>
      <c r="G31" t="n">
        <v>399600000</v>
      </c>
      <c r="H31" t="n">
        <v>2016</v>
      </c>
      <c r="I31" t="inlineStr">
        <is>
          <t>FY</t>
        </is>
      </c>
      <c r="J31" t="inlineStr">
        <is>
          <t>20-F</t>
        </is>
      </c>
      <c r="K31" t="inlineStr">
        <is>
          <t>2017-03-22</t>
        </is>
      </c>
      <c r="L31" t="inlineStr">
        <is>
          <t>0001513845-17-000004</t>
        </is>
      </c>
      <c r="M31" t="inlineStr">
        <is>
          <t>CY2015Q4I</t>
        </is>
      </c>
    </row>
    <row r="32">
      <c r="A32" t="inlineStr">
        <is>
          <t>cash</t>
        </is>
      </c>
      <c r="B32" t="inlineStr">
        <is>
          <t>CashAndCashEquivalentsAtCarryingValue</t>
        </is>
      </c>
      <c r="C32" t="inlineStr">
        <is>
          <t>us-gaap</t>
        </is>
      </c>
      <c r="D32" t="inlineStr">
        <is>
          <t>USD</t>
        </is>
      </c>
      <c r="F32" t="inlineStr">
        <is>
          <t>2016-12-31</t>
        </is>
      </c>
      <c r="G32" t="n">
        <v>465400000</v>
      </c>
      <c r="H32" t="n">
        <v>2016</v>
      </c>
      <c r="I32" t="inlineStr">
        <is>
          <t>FY</t>
        </is>
      </c>
      <c r="J32" t="inlineStr">
        <is>
          <t>20-F</t>
        </is>
      </c>
      <c r="K32" t="inlineStr">
        <is>
          <t>2017-03-22</t>
        </is>
      </c>
      <c r="L32" t="inlineStr">
        <is>
          <t>0001513845-17-000004</t>
        </is>
      </c>
    </row>
    <row r="33">
      <c r="A33" t="inlineStr">
        <is>
          <t>cash</t>
        </is>
      </c>
      <c r="B33" t="inlineStr">
        <is>
          <t>CashAndCashEquivalentsAtCarryingValue</t>
        </is>
      </c>
      <c r="C33" t="inlineStr">
        <is>
          <t>us-gaap</t>
        </is>
      </c>
      <c r="D33" t="inlineStr">
        <is>
          <t>USD</t>
        </is>
      </c>
      <c r="F33" t="inlineStr">
        <is>
          <t>2016-12-31</t>
        </is>
      </c>
      <c r="G33" t="n">
        <v>490100000</v>
      </c>
      <c r="H33" t="n">
        <v>2017</v>
      </c>
      <c r="I33" t="inlineStr">
        <is>
          <t>FY</t>
        </is>
      </c>
      <c r="J33" t="inlineStr">
        <is>
          <t>20-F</t>
        </is>
      </c>
      <c r="K33" t="inlineStr">
        <is>
          <t>2018-03-27</t>
        </is>
      </c>
      <c r="L33" t="inlineStr">
        <is>
          <t>0001513845-18-000013</t>
        </is>
      </c>
      <c r="M33" t="inlineStr">
        <is>
          <t>CY2016Q4I</t>
        </is>
      </c>
    </row>
    <row r="34">
      <c r="A34" t="inlineStr">
        <is>
          <t>cash</t>
        </is>
      </c>
      <c r="B34" t="inlineStr">
        <is>
          <t>CashAndCashEquivalentsAtCarryingValue</t>
        </is>
      </c>
      <c r="C34" t="inlineStr">
        <is>
          <t>us-gaap</t>
        </is>
      </c>
      <c r="D34" t="inlineStr">
        <is>
          <t>USD</t>
        </is>
      </c>
      <c r="F34" t="inlineStr">
        <is>
          <t>2017-12-31</t>
        </is>
      </c>
      <c r="G34" t="n">
        <v>740700000</v>
      </c>
      <c r="H34" t="n">
        <v>2017</v>
      </c>
      <c r="I34" t="inlineStr">
        <is>
          <t>FY</t>
        </is>
      </c>
      <c r="J34" t="inlineStr">
        <is>
          <t>20-F</t>
        </is>
      </c>
      <c r="K34" t="inlineStr">
        <is>
          <t>2018-03-27</t>
        </is>
      </c>
      <c r="L34" t="inlineStr">
        <is>
          <t>0001513845-18-000013</t>
        </is>
      </c>
    </row>
    <row r="35">
      <c r="A35" t="inlineStr">
        <is>
          <t>cash</t>
        </is>
      </c>
      <c r="B35" t="inlineStr">
        <is>
          <t>CashAndCashEquivalentsAtCarryingValue</t>
        </is>
      </c>
      <c r="C35" t="inlineStr">
        <is>
          <t>us-gaap</t>
        </is>
      </c>
      <c r="D35" t="inlineStr">
        <is>
          <t>USD</t>
        </is>
      </c>
      <c r="F35" t="inlineStr">
        <is>
          <t>2017-12-31</t>
        </is>
      </c>
      <c r="G35" t="n">
        <v>614100000</v>
      </c>
      <c r="H35" t="n">
        <v>2018</v>
      </c>
      <c r="I35" t="inlineStr">
        <is>
          <t>FY</t>
        </is>
      </c>
      <c r="J35" t="inlineStr">
        <is>
          <t>20-F</t>
        </is>
      </c>
      <c r="K35" t="inlineStr">
        <is>
          <t>2019-04-19</t>
        </is>
      </c>
      <c r="L35" t="inlineStr">
        <is>
          <t>0001513845-19-000009</t>
        </is>
      </c>
      <c r="M35" t="inlineStr">
        <is>
          <t>CY2017Q4I</t>
        </is>
      </c>
    </row>
    <row r="36">
      <c r="A36" t="inlineStr">
        <is>
          <t>cash</t>
        </is>
      </c>
      <c r="B36" t="inlineStr">
        <is>
          <t>CashAndCashEquivalentsAtCarryingValue</t>
        </is>
      </c>
      <c r="C36" t="inlineStr">
        <is>
          <t>us-gaap</t>
        </is>
      </c>
      <c r="D36" t="inlineStr">
        <is>
          <t>USD</t>
        </is>
      </c>
      <c r="F36" t="inlineStr">
        <is>
          <t>2018-12-31</t>
        </is>
      </c>
      <c r="G36" t="n">
        <v>990300000</v>
      </c>
      <c r="H36" t="n">
        <v>2018</v>
      </c>
      <c r="I36" t="inlineStr">
        <is>
          <t>FY</t>
        </is>
      </c>
      <c r="J36" t="inlineStr">
        <is>
          <t>20-F</t>
        </is>
      </c>
      <c r="K36" t="inlineStr">
        <is>
          <t>2019-04-19</t>
        </is>
      </c>
      <c r="L36" t="inlineStr">
        <is>
          <t>0001513845-19-000009</t>
        </is>
      </c>
    </row>
    <row r="37">
      <c r="A37" t="inlineStr">
        <is>
          <t>cash</t>
        </is>
      </c>
      <c r="B37" t="inlineStr">
        <is>
          <t>CashAndCashEquivalentsAtCarryingValue</t>
        </is>
      </c>
      <c r="C37" t="inlineStr">
        <is>
          <t>us-gaap</t>
        </is>
      </c>
      <c r="D37" t="inlineStr">
        <is>
          <t>USD</t>
        </is>
      </c>
      <c r="F37" t="inlineStr">
        <is>
          <t>2018-12-31</t>
        </is>
      </c>
      <c r="G37" t="n">
        <v>872500000</v>
      </c>
      <c r="H37" t="n">
        <v>2019</v>
      </c>
      <c r="I37" t="inlineStr">
        <is>
          <t>FY</t>
        </is>
      </c>
      <c r="J37" t="inlineStr">
        <is>
          <t>20-F/A</t>
        </is>
      </c>
      <c r="K37" t="inlineStr">
        <is>
          <t>2020-04-02</t>
        </is>
      </c>
      <c r="L37" t="inlineStr">
        <is>
          <t>0001558370-20-003563</t>
        </is>
      </c>
      <c r="M37" t="inlineStr">
        <is>
          <t>CY2018Q4I</t>
        </is>
      </c>
    </row>
    <row r="38">
      <c r="A38" t="inlineStr">
        <is>
          <t>cash</t>
        </is>
      </c>
      <c r="B38" t="inlineStr">
        <is>
          <t>CashAndCashEquivalentsAtCarryingValue</t>
        </is>
      </c>
      <c r="C38" t="inlineStr">
        <is>
          <t>us-gaap</t>
        </is>
      </c>
      <c r="D38" t="inlineStr">
        <is>
          <t>USD</t>
        </is>
      </c>
      <c r="F38" t="inlineStr">
        <is>
          <t>2019-12-31</t>
        </is>
      </c>
      <c r="G38" t="n">
        <v>715500000</v>
      </c>
      <c r="H38" t="n">
        <v>2019</v>
      </c>
      <c r="I38" t="inlineStr">
        <is>
          <t>FY</t>
        </is>
      </c>
      <c r="J38" t="inlineStr">
        <is>
          <t>20-F/A</t>
        </is>
      </c>
      <c r="K38" t="inlineStr">
        <is>
          <t>2020-04-02</t>
        </is>
      </c>
      <c r="L38" t="inlineStr">
        <is>
          <t>0001558370-20-003563</t>
        </is>
      </c>
    </row>
    <row r="39">
      <c r="A39" t="inlineStr">
        <is>
          <t>cash</t>
        </is>
      </c>
      <c r="B39" t="inlineStr">
        <is>
          <t>CashAndCashEquivalentsAtCarryingValue</t>
        </is>
      </c>
      <c r="C39" t="inlineStr">
        <is>
          <t>us-gaap</t>
        </is>
      </c>
      <c r="D39" t="inlineStr">
        <is>
          <t>USD</t>
        </is>
      </c>
      <c r="F39" t="inlineStr">
        <is>
          <t>2019-12-31</t>
        </is>
      </c>
      <c r="G39" t="n">
        <v>763600000</v>
      </c>
      <c r="H39" t="n">
        <v>2020</v>
      </c>
      <c r="I39" t="inlineStr">
        <is>
          <t>FY</t>
        </is>
      </c>
      <c r="J39" t="inlineStr">
        <is>
          <t>20-F</t>
        </is>
      </c>
      <c r="K39" t="inlineStr">
        <is>
          <t>2021-04-01</t>
        </is>
      </c>
      <c r="L39" t="inlineStr">
        <is>
          <t>0001513845-21-000014</t>
        </is>
      </c>
      <c r="M39" t="inlineStr">
        <is>
          <t>CY2019Q4I</t>
        </is>
      </c>
    </row>
    <row r="40">
      <c r="A40" t="inlineStr">
        <is>
          <t>cash</t>
        </is>
      </c>
      <c r="B40" t="inlineStr">
        <is>
          <t>CashAndCashEquivalentsAtCarryingValue</t>
        </is>
      </c>
      <c r="C40" t="inlineStr">
        <is>
          <t>us-gaap</t>
        </is>
      </c>
      <c r="D40" t="inlineStr">
        <is>
          <t>USD</t>
        </is>
      </c>
      <c r="F40" t="inlineStr">
        <is>
          <t>2020-12-31</t>
        </is>
      </c>
      <c r="G40" t="n">
        <v>1792200000</v>
      </c>
      <c r="H40" t="n">
        <v>2020</v>
      </c>
      <c r="I40" t="inlineStr">
        <is>
          <t>FY</t>
        </is>
      </c>
      <c r="J40" t="inlineStr">
        <is>
          <t>20-F</t>
        </is>
      </c>
      <c r="K40" t="inlineStr">
        <is>
          <t>2021-04-01</t>
        </is>
      </c>
      <c r="L40" t="inlineStr">
        <is>
          <t>0001513845-21-000014</t>
        </is>
      </c>
    </row>
    <row r="41">
      <c r="A41" t="inlineStr">
        <is>
          <t>cash</t>
        </is>
      </c>
      <c r="B41" t="inlineStr">
        <is>
          <t>CashAndCashEquivalentsAtCarryingValue</t>
        </is>
      </c>
      <c r="C41" t="inlineStr">
        <is>
          <t>us-gaap</t>
        </is>
      </c>
      <c r="D41" t="inlineStr">
        <is>
          <t>USD</t>
        </is>
      </c>
      <c r="F41" t="inlineStr">
        <is>
          <t>2020-12-31</t>
        </is>
      </c>
      <c r="G41" t="n">
        <v>1782100000</v>
      </c>
      <c r="H41" t="n">
        <v>2021</v>
      </c>
      <c r="I41" t="inlineStr">
        <is>
          <t>FY</t>
        </is>
      </c>
      <c r="J41" t="inlineStr">
        <is>
          <t>20-F</t>
        </is>
      </c>
      <c r="K41" t="inlineStr">
        <is>
          <t>2022-04-20</t>
        </is>
      </c>
      <c r="L41" t="inlineStr">
        <is>
          <t>0001558370-22-005654</t>
        </is>
      </c>
      <c r="M41" t="inlineStr">
        <is>
          <t>CY2020Q4I</t>
        </is>
      </c>
    </row>
    <row r="42">
      <c r="A42" t="inlineStr">
        <is>
          <t>cash</t>
        </is>
      </c>
      <c r="B42" t="inlineStr">
        <is>
          <t>CashAndCashEquivalentsAtCarryingValue</t>
        </is>
      </c>
      <c r="C42" t="inlineStr">
        <is>
          <t>us-gaap</t>
        </is>
      </c>
      <c r="D42" t="inlineStr">
        <is>
          <t>USD</t>
        </is>
      </c>
      <c r="F42" t="inlineStr">
        <is>
          <t>2021-12-31</t>
        </is>
      </c>
      <c r="G42" t="n">
        <v>1067100000</v>
      </c>
      <c r="H42" t="n">
        <v>2021</v>
      </c>
      <c r="I42" t="inlineStr">
        <is>
          <t>FY</t>
        </is>
      </c>
      <c r="J42" t="inlineStr">
        <is>
          <t>20-F</t>
        </is>
      </c>
      <c r="K42" t="inlineStr">
        <is>
          <t>2022-04-20</t>
        </is>
      </c>
      <c r="L42" t="inlineStr">
        <is>
          <t>0001558370-22-005654</t>
        </is>
      </c>
    </row>
    <row r="43">
      <c r="A43" t="inlineStr">
        <is>
          <t>cash</t>
        </is>
      </c>
      <c r="B43" t="inlineStr">
        <is>
          <t>CashAndCashEquivalentsAtCarryingValue</t>
        </is>
      </c>
      <c r="C43" t="inlineStr">
        <is>
          <t>us-gaap</t>
        </is>
      </c>
      <c r="D43" t="inlineStr">
        <is>
          <t>USD</t>
        </is>
      </c>
      <c r="F43" t="inlineStr">
        <is>
          <t>2021-12-31</t>
        </is>
      </c>
      <c r="G43" t="n">
        <v>1127100000</v>
      </c>
      <c r="H43" t="n">
        <v>2022</v>
      </c>
      <c r="I43" t="inlineStr">
        <is>
          <t>FY</t>
        </is>
      </c>
      <c r="J43" t="inlineStr">
        <is>
          <t>20-F</t>
        </is>
      </c>
      <c r="K43" t="inlineStr">
        <is>
          <t>2023-04-20</t>
        </is>
      </c>
      <c r="L43" t="inlineStr">
        <is>
          <t>0001558370-23-006319</t>
        </is>
      </c>
      <c r="M43" t="inlineStr">
        <is>
          <t>CY2021Q4I</t>
        </is>
      </c>
    </row>
    <row r="44">
      <c r="A44" t="inlineStr">
        <is>
          <t>cash</t>
        </is>
      </c>
      <c r="B44" t="inlineStr">
        <is>
          <t>CashAndCashEquivalentsAtCarryingValue</t>
        </is>
      </c>
      <c r="C44" t="inlineStr">
        <is>
          <t>us-gaap</t>
        </is>
      </c>
      <c r="D44" t="inlineStr">
        <is>
          <t>USD</t>
        </is>
      </c>
      <c r="F44" t="inlineStr">
        <is>
          <t>2022-12-31</t>
        </is>
      </c>
      <c r="G44" t="n">
        <v>1181900000</v>
      </c>
      <c r="H44" t="n">
        <v>2022</v>
      </c>
      <c r="I44" t="inlineStr">
        <is>
          <t>FY</t>
        </is>
      </c>
      <c r="J44" t="inlineStr">
        <is>
          <t>20-F</t>
        </is>
      </c>
      <c r="K44" t="inlineStr">
        <is>
          <t>2023-04-20</t>
        </is>
      </c>
      <c r="L44" t="inlineStr">
        <is>
          <t>0001558370-23-006319</t>
        </is>
      </c>
    </row>
    <row r="45">
      <c r="A45" t="inlineStr">
        <is>
          <t>cash</t>
        </is>
      </c>
      <c r="B45" t="inlineStr">
        <is>
          <t>CashAndCashEquivalentsAtCarryingValue</t>
        </is>
      </c>
      <c r="C45" t="inlineStr">
        <is>
          <t>us-gaap</t>
        </is>
      </c>
      <c r="D45" t="inlineStr">
        <is>
          <t>USD</t>
        </is>
      </c>
      <c r="F45" t="inlineStr">
        <is>
          <t>2022-12-31</t>
        </is>
      </c>
      <c r="G45" t="n">
        <v>926900000</v>
      </c>
      <c r="H45" t="n">
        <v>2023</v>
      </c>
      <c r="I45" t="inlineStr">
        <is>
          <t>FY</t>
        </is>
      </c>
      <c r="J45" t="inlineStr">
        <is>
          <t>20-F</t>
        </is>
      </c>
      <c r="K45" t="inlineStr">
        <is>
          <t>2024-04-26</t>
        </is>
      </c>
      <c r="L45" t="inlineStr">
        <is>
          <t>0001558370-24-005891</t>
        </is>
      </c>
    </row>
    <row r="46">
      <c r="A46" t="inlineStr">
        <is>
          <t>cash</t>
        </is>
      </c>
      <c r="B46" t="inlineStr">
        <is>
          <t>CashAndCashEquivalentsAtCarryingValue</t>
        </is>
      </c>
      <c r="C46" t="inlineStr">
        <is>
          <t>us-gaap</t>
        </is>
      </c>
      <c r="D46" t="inlineStr">
        <is>
          <t>USD</t>
        </is>
      </c>
      <c r="F46" t="inlineStr">
        <is>
          <t>2022-12-31</t>
        </is>
      </c>
      <c r="G46" t="n">
        <v>288500000</v>
      </c>
      <c r="H46" t="n">
        <v>2024</v>
      </c>
      <c r="I46" t="inlineStr">
        <is>
          <t>FY</t>
        </is>
      </c>
      <c r="J46" t="inlineStr">
        <is>
          <t>20-F</t>
        </is>
      </c>
      <c r="K46" t="inlineStr">
        <is>
          <t>2025-04-30</t>
        </is>
      </c>
      <c r="L46" t="inlineStr">
        <is>
          <t>0001558370-25-005991</t>
        </is>
      </c>
      <c r="M46" t="inlineStr">
        <is>
          <t>CY2022Q4I</t>
        </is>
      </c>
    </row>
    <row r="47">
      <c r="A47" t="inlineStr">
        <is>
          <t>cash</t>
        </is>
      </c>
      <c r="B47" t="inlineStr">
        <is>
          <t>CashAndCashEquivalentsAtCarryingValue</t>
        </is>
      </c>
      <c r="C47" t="inlineStr">
        <is>
          <t>us-gaap</t>
        </is>
      </c>
      <c r="D47" t="inlineStr">
        <is>
          <t>USD</t>
        </is>
      </c>
      <c r="F47" t="inlineStr">
        <is>
          <t>2023-12-31</t>
        </is>
      </c>
      <c r="G47" t="n">
        <v>1076200000</v>
      </c>
      <c r="H47" t="n">
        <v>2023</v>
      </c>
      <c r="I47" t="inlineStr">
        <is>
          <t>FY</t>
        </is>
      </c>
      <c r="J47" t="inlineStr">
        <is>
          <t>20-F</t>
        </is>
      </c>
      <c r="K47" t="inlineStr">
        <is>
          <t>2024-04-26</t>
        </is>
      </c>
      <c r="L47" t="inlineStr">
        <is>
          <t>0001558370-24-005891</t>
        </is>
      </c>
    </row>
    <row r="48">
      <c r="A48" t="inlineStr">
        <is>
          <t>cash</t>
        </is>
      </c>
      <c r="B48" t="inlineStr">
        <is>
          <t>CashAndCashEquivalentsAtCarryingValue</t>
        </is>
      </c>
      <c r="C48" t="inlineStr">
        <is>
          <t>us-gaap</t>
        </is>
      </c>
      <c r="D48" t="inlineStr">
        <is>
          <t>USD</t>
        </is>
      </c>
      <c r="F48" t="inlineStr">
        <is>
          <t>2023-12-31</t>
        </is>
      </c>
      <c r="G48" t="n">
        <v>116100000</v>
      </c>
      <c r="H48" t="n">
        <v>2024</v>
      </c>
      <c r="I48" t="inlineStr">
        <is>
          <t>FY</t>
        </is>
      </c>
      <c r="J48" t="inlineStr">
        <is>
          <t>20-F</t>
        </is>
      </c>
      <c r="K48" t="inlineStr">
        <is>
          <t>2025-04-30</t>
        </is>
      </c>
      <c r="L48" t="inlineStr">
        <is>
          <t>0001558370-25-005991</t>
        </is>
      </c>
    </row>
    <row r="49">
      <c r="A49" t="inlineStr">
        <is>
          <t>cash</t>
        </is>
      </c>
      <c r="B49" t="inlineStr">
        <is>
          <t>CashAndCashEquivalentsAtCarryingValue</t>
        </is>
      </c>
      <c r="C49" t="inlineStr">
        <is>
          <t>us-gaap</t>
        </is>
      </c>
      <c r="D49" t="inlineStr">
        <is>
          <t>USD</t>
        </is>
      </c>
      <c r="F49" t="inlineStr">
        <is>
          <t>2023-12-31</t>
        </is>
      </c>
      <c r="G49" t="n">
        <v>110700000</v>
      </c>
      <c r="H49" t="n">
        <v>2025</v>
      </c>
      <c r="I49" t="inlineStr">
        <is>
          <t>FY</t>
        </is>
      </c>
      <c r="J49" t="inlineStr">
        <is>
          <t>20-F</t>
        </is>
      </c>
      <c r="K49" t="inlineStr">
        <is>
          <t>2026-04-30</t>
        </is>
      </c>
      <c r="L49" t="inlineStr">
        <is>
          <t>0001104659-26-052948</t>
        </is>
      </c>
      <c r="M49" t="inlineStr">
        <is>
          <t>CY2023Q4I</t>
        </is>
      </c>
    </row>
    <row r="50">
      <c r="A50" t="inlineStr">
        <is>
          <t>cash</t>
        </is>
      </c>
      <c r="B50" t="inlineStr">
        <is>
          <t>CashAndCashEquivalentsAtCarryingValue</t>
        </is>
      </c>
      <c r="C50" t="inlineStr">
        <is>
          <t>us-gaap</t>
        </is>
      </c>
      <c r="D50" t="inlineStr">
        <is>
          <t>USD</t>
        </is>
      </c>
      <c r="F50" t="inlineStr">
        <is>
          <t>2024-12-31</t>
        </is>
      </c>
      <c r="G50" t="n">
        <v>2449600000</v>
      </c>
      <c r="H50" t="n">
        <v>2024</v>
      </c>
      <c r="I50" t="inlineStr">
        <is>
          <t>FY</t>
        </is>
      </c>
      <c r="J50" t="inlineStr">
        <is>
          <t>20-F</t>
        </is>
      </c>
      <c r="K50" t="inlineStr">
        <is>
          <t>2025-04-30</t>
        </is>
      </c>
      <c r="L50" t="inlineStr">
        <is>
          <t>0001558370-25-005991</t>
        </is>
      </c>
    </row>
    <row r="51">
      <c r="A51" t="inlineStr">
        <is>
          <t>cash</t>
        </is>
      </c>
      <c r="B51" t="inlineStr">
        <is>
          <t>CashAndCashEquivalentsAtCarryingValue</t>
        </is>
      </c>
      <c r="C51" t="inlineStr">
        <is>
          <t>us-gaap</t>
        </is>
      </c>
      <c r="D51" t="inlineStr">
        <is>
          <t>USD</t>
        </is>
      </c>
      <c r="F51" t="inlineStr">
        <is>
          <t>2024-12-31</t>
        </is>
      </c>
      <c r="G51" t="n">
        <v>2434700000</v>
      </c>
      <c r="H51" t="n">
        <v>2025</v>
      </c>
      <c r="I51" t="inlineStr">
        <is>
          <t>FY</t>
        </is>
      </c>
      <c r="J51" t="inlineStr">
        <is>
          <t>20-F</t>
        </is>
      </c>
      <c r="K51" t="inlineStr">
        <is>
          <t>2026-04-30</t>
        </is>
      </c>
      <c r="L51" t="inlineStr">
        <is>
          <t>0001104659-26-052948</t>
        </is>
      </c>
      <c r="M51" t="inlineStr">
        <is>
          <t>CY2024Q4I</t>
        </is>
      </c>
    </row>
    <row r="52">
      <c r="A52" t="inlineStr">
        <is>
          <t>cash</t>
        </is>
      </c>
      <c r="B52" t="inlineStr">
        <is>
          <t>CashAndCashEquivalentsAtCarryingValue</t>
        </is>
      </c>
      <c r="C52" t="inlineStr">
        <is>
          <t>us-gaap</t>
        </is>
      </c>
      <c r="D52" t="inlineStr">
        <is>
          <t>USD</t>
        </is>
      </c>
      <c r="F52" t="inlineStr">
        <is>
          <t>2025-12-31</t>
        </is>
      </c>
      <c r="G52" t="n">
        <v>3678100000</v>
      </c>
      <c r="H52" t="n">
        <v>2025</v>
      </c>
      <c r="I52" t="inlineStr">
        <is>
          <t>FY</t>
        </is>
      </c>
      <c r="J52" t="inlineStr">
        <is>
          <t>20-F</t>
        </is>
      </c>
      <c r="K52" t="inlineStr">
        <is>
          <t>2026-04-30</t>
        </is>
      </c>
      <c r="L52" t="inlineStr">
        <is>
          <t>0001104659-26-052948</t>
        </is>
      </c>
      <c r="M52" t="inlineStr">
        <is>
          <t>CY2025Q4I</t>
        </is>
      </c>
    </row>
    <row r="53">
      <c r="A53" t="inlineStr">
        <is>
          <t>cfo</t>
        </is>
      </c>
      <c r="B53" t="inlineStr">
        <is>
          <t>NetCashProvidedByUsedInOperatingActivities</t>
        </is>
      </c>
      <c r="C53" t="inlineStr">
        <is>
          <t>us-gaap</t>
        </is>
      </c>
      <c r="D53" t="inlineStr">
        <is>
          <t>USD</t>
        </is>
      </c>
      <c r="E53" t="inlineStr">
        <is>
          <t>2017-01-01</t>
        </is>
      </c>
      <c r="F53" t="inlineStr">
        <is>
          <t>2017-12-31</t>
        </is>
      </c>
      <c r="G53" t="n">
        <v>412700000</v>
      </c>
      <c r="H53" t="n">
        <v>2017</v>
      </c>
      <c r="I53" t="inlineStr">
        <is>
          <t>FY</t>
        </is>
      </c>
      <c r="J53" t="inlineStr">
        <is>
          <t>20-F</t>
        </is>
      </c>
      <c r="K53" t="inlineStr">
        <is>
          <t>2018-03-27</t>
        </is>
      </c>
      <c r="L53" t="inlineStr">
        <is>
          <t>0001513845-18-000013</t>
        </is>
      </c>
      <c r="M53" t="inlineStr">
        <is>
          <t>CY2017</t>
        </is>
      </c>
    </row>
    <row r="54">
      <c r="A54" t="inlineStr">
        <is>
          <t>cfo</t>
        </is>
      </c>
      <c r="B54" t="inlineStr">
        <is>
          <t>NetCashProvidedByUsedInOperatingActivities</t>
        </is>
      </c>
      <c r="C54" t="inlineStr">
        <is>
          <t>us-gaap</t>
        </is>
      </c>
      <c r="D54" t="inlineStr">
        <is>
          <t>USD</t>
        </is>
      </c>
      <c r="E54" t="inlineStr">
        <is>
          <t>2018-01-01</t>
        </is>
      </c>
      <c r="F54" t="inlineStr">
        <is>
          <t>2018-12-31</t>
        </is>
      </c>
      <c r="G54" t="n">
        <v>406100000</v>
      </c>
      <c r="H54" t="n">
        <v>2018</v>
      </c>
      <c r="I54" t="inlineStr">
        <is>
          <t>FY</t>
        </is>
      </c>
      <c r="J54" t="inlineStr">
        <is>
          <t>20-F</t>
        </is>
      </c>
      <c r="K54" t="inlineStr">
        <is>
          <t>2019-04-19</t>
        </is>
      </c>
      <c r="L54" t="inlineStr">
        <is>
          <t>0001513845-19-000009</t>
        </is>
      </c>
      <c r="M54" t="inlineStr">
        <is>
          <t>CY2018</t>
        </is>
      </c>
    </row>
    <row r="55">
      <c r="A55" t="inlineStr">
        <is>
          <t>cfo</t>
        </is>
      </c>
      <c r="B55" t="inlineStr">
        <is>
          <t>NetCashProvidedByUsedInOperatingActivities</t>
        </is>
      </c>
      <c r="C55" t="inlineStr">
        <is>
          <t>us-gaap</t>
        </is>
      </c>
      <c r="D55" t="inlineStr">
        <is>
          <t>USD</t>
        </is>
      </c>
      <c r="E55" t="inlineStr">
        <is>
          <t>2019-01-01</t>
        </is>
      </c>
      <c r="F55" t="inlineStr">
        <is>
          <t>2019-12-31</t>
        </is>
      </c>
      <c r="G55" t="n">
        <v>562800000</v>
      </c>
      <c r="H55" t="n">
        <v>2019</v>
      </c>
      <c r="I55" t="inlineStr">
        <is>
          <t>FY</t>
        </is>
      </c>
      <c r="J55" t="inlineStr">
        <is>
          <t>20-F/A</t>
        </is>
      </c>
      <c r="K55" t="inlineStr">
        <is>
          <t>2020-04-02</t>
        </is>
      </c>
      <c r="L55" t="inlineStr">
        <is>
          <t>0001558370-20-003563</t>
        </is>
      </c>
      <c r="M55" t="inlineStr">
        <is>
          <t>CY2019</t>
        </is>
      </c>
    </row>
    <row r="56">
      <c r="A56" t="inlineStr">
        <is>
          <t>cfo</t>
        </is>
      </c>
      <c r="B56" t="inlineStr">
        <is>
          <t>NetCashProvidedByUsedInOperatingActivities</t>
        </is>
      </c>
      <c r="C56" t="inlineStr">
        <is>
          <t>us-gaap</t>
        </is>
      </c>
      <c r="D56" t="inlineStr">
        <is>
          <t>USD</t>
        </is>
      </c>
      <c r="E56" t="inlineStr">
        <is>
          <t>2020-01-01</t>
        </is>
      </c>
      <c r="F56" t="inlineStr">
        <is>
          <t>2020-12-31</t>
        </is>
      </c>
      <c r="G56" t="n">
        <v>441300000</v>
      </c>
      <c r="H56" t="n">
        <v>2020</v>
      </c>
      <c r="I56" t="inlineStr">
        <is>
          <t>FY</t>
        </is>
      </c>
      <c r="J56" t="inlineStr">
        <is>
          <t>20-F</t>
        </is>
      </c>
      <c r="K56" t="inlineStr">
        <is>
          <t>2021-04-01</t>
        </is>
      </c>
      <c r="L56" t="inlineStr">
        <is>
          <t>0001513845-21-000014</t>
        </is>
      </c>
      <c r="M56" t="inlineStr">
        <is>
          <t>CY2020</t>
        </is>
      </c>
    </row>
    <row r="57">
      <c r="A57" t="inlineStr">
        <is>
          <t>cfo</t>
        </is>
      </c>
      <c r="B57" t="inlineStr">
        <is>
          <t>NetCashProvidedByUsedInOperatingActivities</t>
        </is>
      </c>
      <c r="C57" t="inlineStr">
        <is>
          <t>us-gaap</t>
        </is>
      </c>
      <c r="D57" t="inlineStr">
        <is>
          <t>USD</t>
        </is>
      </c>
      <c r="E57" t="inlineStr">
        <is>
          <t>2021-01-01</t>
        </is>
      </c>
      <c r="F57" t="inlineStr">
        <is>
          <t>2021-12-31</t>
        </is>
      </c>
      <c r="G57" t="n">
        <v>125100000</v>
      </c>
      <c r="H57" t="n">
        <v>2021</v>
      </c>
      <c r="I57" t="inlineStr">
        <is>
          <t>FY</t>
        </is>
      </c>
      <c r="J57" t="inlineStr">
        <is>
          <t>20-F</t>
        </is>
      </c>
      <c r="K57" t="inlineStr">
        <is>
          <t>2022-04-20</t>
        </is>
      </c>
      <c r="L57" t="inlineStr">
        <is>
          <t>0001558370-22-005654</t>
        </is>
      </c>
      <c r="M57" t="inlineStr">
        <is>
          <t>CY2021</t>
        </is>
      </c>
    </row>
    <row r="58">
      <c r="A58" t="inlineStr">
        <is>
          <t>cfo</t>
        </is>
      </c>
      <c r="B58" t="inlineStr">
        <is>
          <t>NetCashProvidedByUsedInOperatingActivities</t>
        </is>
      </c>
      <c r="C58" t="inlineStr">
        <is>
          <t>us-gaap</t>
        </is>
      </c>
      <c r="D58" t="inlineStr">
        <is>
          <t>USD</t>
        </is>
      </c>
      <c r="E58" t="inlineStr">
        <is>
          <t>2022-01-01</t>
        </is>
      </c>
      <c r="F58" t="inlineStr">
        <is>
          <t>2022-12-31</t>
        </is>
      </c>
      <c r="G58" t="n">
        <v>592800000</v>
      </c>
      <c r="H58" t="n">
        <v>2022</v>
      </c>
      <c r="I58" t="inlineStr">
        <is>
          <t>FY</t>
        </is>
      </c>
      <c r="J58" t="inlineStr">
        <is>
          <t>20-F</t>
        </is>
      </c>
      <c r="K58" t="inlineStr">
        <is>
          <t>2023-04-20</t>
        </is>
      </c>
      <c r="L58" t="inlineStr">
        <is>
          <t>0001558370-23-006319</t>
        </is>
      </c>
    </row>
    <row r="59">
      <c r="A59" t="inlineStr">
        <is>
          <t>cfo</t>
        </is>
      </c>
      <c r="B59" t="inlineStr">
        <is>
          <t>NetCashProvidedByUsedInOperatingActivities</t>
        </is>
      </c>
      <c r="C59" t="inlineStr">
        <is>
          <t>us-gaap</t>
        </is>
      </c>
      <c r="D59" t="inlineStr">
        <is>
          <t>USD</t>
        </is>
      </c>
      <c r="E59" t="inlineStr">
        <is>
          <t>2022-01-01</t>
        </is>
      </c>
      <c r="F59" t="inlineStr">
        <is>
          <t>2022-12-31</t>
        </is>
      </c>
      <c r="G59" t="n">
        <v>697000000</v>
      </c>
      <c r="H59" t="n">
        <v>2024</v>
      </c>
      <c r="I59" t="inlineStr">
        <is>
          <t>FY</t>
        </is>
      </c>
      <c r="J59" t="inlineStr">
        <is>
          <t>20-F</t>
        </is>
      </c>
      <c r="K59" t="inlineStr">
        <is>
          <t>2025-04-30</t>
        </is>
      </c>
      <c r="L59" t="inlineStr">
        <is>
          <t>0001558370-25-005991</t>
        </is>
      </c>
      <c r="M59" t="inlineStr">
        <is>
          <t>CY2022</t>
        </is>
      </c>
    </row>
    <row r="60">
      <c r="A60" t="inlineStr">
        <is>
          <t>cfo</t>
        </is>
      </c>
      <c r="B60" t="inlineStr">
        <is>
          <t>NetCashProvidedByUsedInOperatingActivities</t>
        </is>
      </c>
      <c r="C60" t="inlineStr">
        <is>
          <t>us-gaap</t>
        </is>
      </c>
      <c r="D60" t="inlineStr">
        <is>
          <t>USD</t>
        </is>
      </c>
      <c r="E60" t="inlineStr">
        <is>
          <t>2023-01-01</t>
        </is>
      </c>
      <c r="F60" t="inlineStr">
        <is>
          <t>2023-12-31</t>
        </is>
      </c>
      <c r="G60" t="n">
        <v>783400000</v>
      </c>
      <c r="H60" t="n">
        <v>2023</v>
      </c>
      <c r="I60" t="inlineStr">
        <is>
          <t>FY</t>
        </is>
      </c>
      <c r="J60" t="inlineStr">
        <is>
          <t>20-F</t>
        </is>
      </c>
      <c r="K60" t="inlineStr">
        <is>
          <t>2024-04-26</t>
        </is>
      </c>
      <c r="L60" t="inlineStr">
        <is>
          <t>0001558370-24-005891</t>
        </is>
      </c>
    </row>
    <row r="61">
      <c r="A61" t="inlineStr">
        <is>
          <t>cfo</t>
        </is>
      </c>
      <c r="B61" t="inlineStr">
        <is>
          <t>NetCashProvidedByUsedInOperatingActivities</t>
        </is>
      </c>
      <c r="C61" t="inlineStr">
        <is>
          <t>us-gaap</t>
        </is>
      </c>
      <c r="D61" t="inlineStr">
        <is>
          <t>USD</t>
        </is>
      </c>
      <c r="E61" t="inlineStr">
        <is>
          <t>2023-01-01</t>
        </is>
      </c>
      <c r="F61" t="inlineStr">
        <is>
          <t>2023-12-31</t>
        </is>
      </c>
      <c r="G61" t="n">
        <v>829800000</v>
      </c>
      <c r="H61" t="n">
        <v>2024</v>
      </c>
      <c r="I61" t="inlineStr">
        <is>
          <t>FY</t>
        </is>
      </c>
      <c r="J61" t="inlineStr">
        <is>
          <t>20-F</t>
        </is>
      </c>
      <c r="K61" t="inlineStr">
        <is>
          <t>2025-04-30</t>
        </is>
      </c>
      <c r="L61" t="inlineStr">
        <is>
          <t>0001558370-25-005991</t>
        </is>
      </c>
    </row>
    <row r="62">
      <c r="A62" t="inlineStr">
        <is>
          <t>cfo</t>
        </is>
      </c>
      <c r="B62" t="inlineStr">
        <is>
          <t>NetCashProvidedByUsedInOperatingActivities</t>
        </is>
      </c>
      <c r="C62" t="inlineStr">
        <is>
          <t>us-gaap</t>
        </is>
      </c>
      <c r="D62" t="inlineStr">
        <is>
          <t>USD</t>
        </is>
      </c>
      <c r="E62" t="inlineStr">
        <is>
          <t>2023-01-01</t>
        </is>
      </c>
      <c r="F62" t="inlineStr">
        <is>
          <t>2023-12-31</t>
        </is>
      </c>
      <c r="G62" t="n">
        <v>829800000</v>
      </c>
      <c r="H62" t="n">
        <v>2025</v>
      </c>
      <c r="I62" t="inlineStr">
        <is>
          <t>FY</t>
        </is>
      </c>
      <c r="J62" t="inlineStr">
        <is>
          <t>20-F</t>
        </is>
      </c>
      <c r="K62" t="inlineStr">
        <is>
          <t>2026-04-30</t>
        </is>
      </c>
      <c r="L62" t="inlineStr">
        <is>
          <t>0001104659-26-052948</t>
        </is>
      </c>
      <c r="M62" t="inlineStr">
        <is>
          <t>CY2023</t>
        </is>
      </c>
    </row>
    <row r="63">
      <c r="A63" t="inlineStr">
        <is>
          <t>cfo</t>
        </is>
      </c>
      <c r="B63" t="inlineStr">
        <is>
          <t>NetCashProvidedByUsedInOperatingActivities</t>
        </is>
      </c>
      <c r="C63" t="inlineStr">
        <is>
          <t>us-gaap</t>
        </is>
      </c>
      <c r="D63" t="inlineStr">
        <is>
          <t>USD</t>
        </is>
      </c>
      <c r="E63" t="inlineStr">
        <is>
          <t>2024-01-01</t>
        </is>
      </c>
      <c r="F63" t="inlineStr">
        <is>
          <t>2024-12-31</t>
        </is>
      </c>
      <c r="G63" t="n">
        <v>245600000</v>
      </c>
      <c r="H63" t="n">
        <v>2024</v>
      </c>
      <c r="I63" t="inlineStr">
        <is>
          <t>FY</t>
        </is>
      </c>
      <c r="J63" t="inlineStr">
        <is>
          <t>20-F</t>
        </is>
      </c>
      <c r="K63" t="inlineStr">
        <is>
          <t>2025-04-30</t>
        </is>
      </c>
      <c r="L63" t="inlineStr">
        <is>
          <t>0001558370-25-005991</t>
        </is>
      </c>
    </row>
    <row r="64">
      <c r="A64" t="inlineStr">
        <is>
          <t>cfo</t>
        </is>
      </c>
      <c r="B64" t="inlineStr">
        <is>
          <t>NetCashProvidedByUsedInOperatingActivities</t>
        </is>
      </c>
      <c r="C64" t="inlineStr">
        <is>
          <t>us-gaap</t>
        </is>
      </c>
      <c r="D64" t="inlineStr">
        <is>
          <t>USD</t>
        </is>
      </c>
      <c r="E64" t="inlineStr">
        <is>
          <t>2024-01-01</t>
        </is>
      </c>
      <c r="F64" t="inlineStr">
        <is>
          <t>2024-12-31</t>
        </is>
      </c>
      <c r="G64" t="n">
        <v>245600000</v>
      </c>
      <c r="H64" t="n">
        <v>2025</v>
      </c>
      <c r="I64" t="inlineStr">
        <is>
          <t>FY</t>
        </is>
      </c>
      <c r="J64" t="inlineStr">
        <is>
          <t>20-F</t>
        </is>
      </c>
      <c r="K64" t="inlineStr">
        <is>
          <t>2026-04-30</t>
        </is>
      </c>
      <c r="L64" t="inlineStr">
        <is>
          <t>0001104659-26-052948</t>
        </is>
      </c>
      <c r="M64" t="inlineStr">
        <is>
          <t>CY2024</t>
        </is>
      </c>
    </row>
    <row r="65">
      <c r="A65" t="inlineStr">
        <is>
          <t>cfo</t>
        </is>
      </c>
      <c r="B65" t="inlineStr">
        <is>
          <t>NetCashProvidedByUsedInOperatingActivities</t>
        </is>
      </c>
      <c r="C65" t="inlineStr">
        <is>
          <t>us-gaap</t>
        </is>
      </c>
      <c r="D65" t="inlineStr">
        <is>
          <t>USD</t>
        </is>
      </c>
      <c r="E65" t="inlineStr">
        <is>
          <t>2025-01-01</t>
        </is>
      </c>
      <c r="F65" t="inlineStr">
        <is>
          <t>2025-12-31</t>
        </is>
      </c>
      <c r="G65" t="n">
        <v>384800000</v>
      </c>
      <c r="H65" t="n">
        <v>2025</v>
      </c>
      <c r="I65" t="inlineStr">
        <is>
          <t>FY</t>
        </is>
      </c>
      <c r="J65" t="inlineStr">
        <is>
          <t>20-F</t>
        </is>
      </c>
      <c r="K65" t="inlineStr">
        <is>
          <t>2026-04-30</t>
        </is>
      </c>
      <c r="L65" t="inlineStr">
        <is>
          <t>0001104659-26-052948</t>
        </is>
      </c>
      <c r="M65" t="inlineStr">
        <is>
          <t>CY2025</t>
        </is>
      </c>
    </row>
    <row r="66">
      <c r="A66" t="inlineStr">
        <is>
          <t>cost_of_revenue</t>
        </is>
      </c>
      <c r="B66" t="inlineStr">
        <is>
          <t>CostOfRevenue</t>
        </is>
      </c>
      <c r="C66" t="inlineStr">
        <is>
          <t>us-gaap</t>
        </is>
      </c>
      <c r="D66" t="inlineStr">
        <is>
          <t>USD</t>
        </is>
      </c>
      <c r="E66" t="inlineStr">
        <is>
          <t>2011-01-01</t>
        </is>
      </c>
      <c r="F66" t="inlineStr">
        <is>
          <t>2011-12-31</t>
        </is>
      </c>
      <c r="G66" t="n">
        <v>146200000</v>
      </c>
      <c r="H66" t="n">
        <v>2011</v>
      </c>
      <c r="I66" t="inlineStr">
        <is>
          <t>FY</t>
        </is>
      </c>
      <c r="J66" t="inlineStr">
        <is>
          <t>20-F</t>
        </is>
      </c>
      <c r="K66" t="inlineStr">
        <is>
          <t>2012-03-02</t>
        </is>
      </c>
      <c r="L66" t="inlineStr">
        <is>
          <t>0001047469-12-002052</t>
        </is>
      </c>
      <c r="M66" t="inlineStr">
        <is>
          <t>CY2011</t>
        </is>
      </c>
    </row>
    <row r="67">
      <c r="A67" t="inlineStr">
        <is>
          <t>cost_of_revenue</t>
        </is>
      </c>
      <c r="B67" t="inlineStr">
        <is>
          <t>CostOfRevenue</t>
        </is>
      </c>
      <c r="C67" t="inlineStr">
        <is>
          <t>us-gaap</t>
        </is>
      </c>
      <c r="D67" t="inlineStr">
        <is>
          <t>USD</t>
        </is>
      </c>
      <c r="E67" t="inlineStr">
        <is>
          <t>2012-01-01</t>
        </is>
      </c>
      <c r="F67" t="inlineStr">
        <is>
          <t>2012-12-31</t>
        </is>
      </c>
      <c r="G67" t="n">
        <v>236700000</v>
      </c>
      <c r="H67" t="n">
        <v>2012</v>
      </c>
      <c r="I67" t="inlineStr">
        <is>
          <t>FY</t>
        </is>
      </c>
      <c r="J67" t="inlineStr">
        <is>
          <t>20-F</t>
        </is>
      </c>
      <c r="K67" t="inlineStr">
        <is>
          <t>2013-04-09</t>
        </is>
      </c>
      <c r="L67" t="inlineStr">
        <is>
          <t>0001047469-13-004131</t>
        </is>
      </c>
      <c r="M67" t="inlineStr">
        <is>
          <t>CY2012</t>
        </is>
      </c>
    </row>
    <row r="68">
      <c r="A68" t="inlineStr">
        <is>
          <t>cost_of_revenue</t>
        </is>
      </c>
      <c r="B68" t="inlineStr">
        <is>
          <t>CostOfRevenue</t>
        </is>
      </c>
      <c r="C68" t="inlineStr">
        <is>
          <t>us-gaap</t>
        </is>
      </c>
      <c r="D68" t="inlineStr">
        <is>
          <t>USD</t>
        </is>
      </c>
      <c r="E68" t="inlineStr">
        <is>
          <t>2013-01-01</t>
        </is>
      </c>
      <c r="F68" t="inlineStr">
        <is>
          <t>2013-12-31</t>
        </is>
      </c>
      <c r="G68" t="n">
        <v>324100000</v>
      </c>
      <c r="H68" t="n">
        <v>2013</v>
      </c>
      <c r="I68" t="inlineStr">
        <is>
          <t>FY</t>
        </is>
      </c>
      <c r="J68" t="inlineStr">
        <is>
          <t>20-F</t>
        </is>
      </c>
      <c r="K68" t="inlineStr">
        <is>
          <t>2014-04-04</t>
        </is>
      </c>
      <c r="L68" t="inlineStr">
        <is>
          <t>0001047469-14-003438</t>
        </is>
      </c>
      <c r="M68" t="inlineStr">
        <is>
          <t>CY2013</t>
        </is>
      </c>
    </row>
    <row r="69">
      <c r="A69" t="inlineStr">
        <is>
          <t>cost_of_revenue</t>
        </is>
      </c>
      <c r="B69" t="inlineStr">
        <is>
          <t>CostOfRevenue</t>
        </is>
      </c>
      <c r="C69" t="inlineStr">
        <is>
          <t>us-gaap</t>
        </is>
      </c>
      <c r="D69" t="inlineStr">
        <is>
          <t>USD</t>
        </is>
      </c>
      <c r="E69" t="inlineStr">
        <is>
          <t>2014-01-01</t>
        </is>
      </c>
      <c r="F69" t="inlineStr">
        <is>
          <t>2014-12-31</t>
        </is>
      </c>
      <c r="G69" t="n">
        <v>254800000</v>
      </c>
      <c r="H69" t="n">
        <v>2014</v>
      </c>
      <c r="I69" t="inlineStr">
        <is>
          <t>FY</t>
        </is>
      </c>
      <c r="J69" t="inlineStr">
        <is>
          <t>20-F</t>
        </is>
      </c>
      <c r="K69" t="inlineStr">
        <is>
          <t>2015-04-30</t>
        </is>
      </c>
      <c r="L69" t="inlineStr">
        <is>
          <t>0001047469-15-004230</t>
        </is>
      </c>
      <c r="M69" t="inlineStr">
        <is>
          <t>CY2014</t>
        </is>
      </c>
    </row>
    <row r="70">
      <c r="A70" t="inlineStr">
        <is>
          <t>cost_of_revenue</t>
        </is>
      </c>
      <c r="B70" t="inlineStr">
        <is>
          <t>CostOfRevenue</t>
        </is>
      </c>
      <c r="C70" t="inlineStr">
        <is>
          <t>us-gaap</t>
        </is>
      </c>
      <c r="D70" t="inlineStr">
        <is>
          <t>USD</t>
        </is>
      </c>
      <c r="E70" t="inlineStr">
        <is>
          <t>2015-01-01</t>
        </is>
      </c>
      <c r="F70" t="inlineStr">
        <is>
          <t>2015-12-31</t>
        </is>
      </c>
      <c r="G70" t="n">
        <v>230600000</v>
      </c>
      <c r="H70" t="n">
        <v>2015</v>
      </c>
      <c r="I70" t="inlineStr">
        <is>
          <t>FY</t>
        </is>
      </c>
      <c r="J70" t="inlineStr">
        <is>
          <t>20-F</t>
        </is>
      </c>
      <c r="K70" t="inlineStr">
        <is>
          <t>2016-03-22</t>
        </is>
      </c>
      <c r="L70" t="inlineStr">
        <is>
          <t>0001047469-16-011404</t>
        </is>
      </c>
      <c r="M70" t="inlineStr">
        <is>
          <t>CY2015</t>
        </is>
      </c>
    </row>
    <row r="71">
      <c r="A71" t="inlineStr">
        <is>
          <t>cost_of_revenue</t>
        </is>
      </c>
      <c r="B71" t="inlineStr">
        <is>
          <t>CostOfRevenue</t>
        </is>
      </c>
      <c r="C71" t="inlineStr">
        <is>
          <t>us-gaap</t>
        </is>
      </c>
      <c r="D71" t="inlineStr">
        <is>
          <t>USD</t>
        </is>
      </c>
      <c r="E71" t="inlineStr">
        <is>
          <t>2016-01-01</t>
        </is>
      </c>
      <c r="F71" t="inlineStr">
        <is>
          <t>2016-12-31</t>
        </is>
      </c>
      <c r="G71" t="n">
        <v>325700000</v>
      </c>
      <c r="H71" t="n">
        <v>2016</v>
      </c>
      <c r="I71" t="inlineStr">
        <is>
          <t>FY</t>
        </is>
      </c>
      <c r="J71" t="inlineStr">
        <is>
          <t>20-F</t>
        </is>
      </c>
      <c r="K71" t="inlineStr">
        <is>
          <t>2017-03-22</t>
        </is>
      </c>
      <c r="L71" t="inlineStr">
        <is>
          <t>0001513845-17-000004</t>
        </is>
      </c>
      <c r="M71" t="inlineStr">
        <is>
          <t>CY2016</t>
        </is>
      </c>
    </row>
    <row r="72">
      <c r="A72" t="inlineStr">
        <is>
          <t>cost_of_revenue</t>
        </is>
      </c>
      <c r="B72" t="inlineStr">
        <is>
          <t>CostOfRevenue</t>
        </is>
      </c>
      <c r="C72" t="inlineStr">
        <is>
          <t>us-gaap</t>
        </is>
      </c>
      <c r="D72" t="inlineStr">
        <is>
          <t>USD</t>
        </is>
      </c>
      <c r="E72" t="inlineStr">
        <is>
          <t>2017-01-01</t>
        </is>
      </c>
      <c r="F72" t="inlineStr">
        <is>
          <t>2017-12-31</t>
        </is>
      </c>
      <c r="G72" t="n">
        <v>415600000</v>
      </c>
      <c r="H72" t="n">
        <v>2017</v>
      </c>
      <c r="I72" t="inlineStr">
        <is>
          <t>FY</t>
        </is>
      </c>
      <c r="J72" t="inlineStr">
        <is>
          <t>20-F</t>
        </is>
      </c>
      <c r="K72" t="inlineStr">
        <is>
          <t>2018-03-27</t>
        </is>
      </c>
      <c r="L72" t="inlineStr">
        <is>
          <t>0001513845-18-000013</t>
        </is>
      </c>
      <c r="M72" t="inlineStr">
        <is>
          <t>CY2017</t>
        </is>
      </c>
    </row>
    <row r="73">
      <c r="A73" t="inlineStr">
        <is>
          <t>cost_of_revenue</t>
        </is>
      </c>
      <c r="B73" t="inlineStr">
        <is>
          <t>CostOfRevenue</t>
        </is>
      </c>
      <c r="C73" t="inlineStr">
        <is>
          <t>us-gaap</t>
        </is>
      </c>
      <c r="D73" t="inlineStr">
        <is>
          <t>USD</t>
        </is>
      </c>
      <c r="E73" t="inlineStr">
        <is>
          <t>2018-01-01</t>
        </is>
      </c>
      <c r="F73" t="inlineStr">
        <is>
          <t>2018-12-31</t>
        </is>
      </c>
      <c r="G73" t="n">
        <v>516600000</v>
      </c>
      <c r="H73" t="n">
        <v>2018</v>
      </c>
      <c r="I73" t="inlineStr">
        <is>
          <t>FY</t>
        </is>
      </c>
      <c r="J73" t="inlineStr">
        <is>
          <t>20-F</t>
        </is>
      </c>
      <c r="K73" t="inlineStr">
        <is>
          <t>2019-04-19</t>
        </is>
      </c>
      <c r="L73" t="inlineStr">
        <is>
          <t>0001513845-19-000009</t>
        </is>
      </c>
      <c r="M73" t="inlineStr">
        <is>
          <t>CY2018</t>
        </is>
      </c>
    </row>
    <row r="74">
      <c r="A74" t="inlineStr">
        <is>
          <t>cost_of_revenue</t>
        </is>
      </c>
      <c r="B74" t="inlineStr">
        <is>
          <t>CostOfRevenue</t>
        </is>
      </c>
      <c r="C74" t="inlineStr">
        <is>
          <t>us-gaap</t>
        </is>
      </c>
      <c r="D74" t="inlineStr">
        <is>
          <t>USD</t>
        </is>
      </c>
      <c r="E74" t="inlineStr">
        <is>
          <t>2019-01-01</t>
        </is>
      </c>
      <c r="F74" t="inlineStr">
        <is>
          <t>2019-12-31</t>
        </is>
      </c>
      <c r="G74" t="n">
        <v>707500000</v>
      </c>
      <c r="H74" t="n">
        <v>2019</v>
      </c>
      <c r="I74" t="inlineStr">
        <is>
          <t>FY</t>
        </is>
      </c>
      <c r="J74" t="inlineStr">
        <is>
          <t>20-F/A</t>
        </is>
      </c>
      <c r="K74" t="inlineStr">
        <is>
          <t>2020-04-02</t>
        </is>
      </c>
      <c r="L74" t="inlineStr">
        <is>
          <t>0001558370-20-003563</t>
        </is>
      </c>
      <c r="M74" t="inlineStr">
        <is>
          <t>CY2019</t>
        </is>
      </c>
    </row>
    <row r="75">
      <c r="A75" t="inlineStr">
        <is>
          <t>cost_of_revenue</t>
        </is>
      </c>
      <c r="B75" t="inlineStr">
        <is>
          <t>CostOfRevenue</t>
        </is>
      </c>
      <c r="C75" t="inlineStr">
        <is>
          <t>us-gaap</t>
        </is>
      </c>
      <c r="D75" t="inlineStr">
        <is>
          <t>USD</t>
        </is>
      </c>
      <c r="E75" t="inlineStr">
        <is>
          <t>2020-01-01</t>
        </is>
      </c>
      <c r="F75" t="inlineStr">
        <is>
          <t>2020-12-31</t>
        </is>
      </c>
      <c r="G75" t="n">
        <v>1160500000</v>
      </c>
      <c r="H75" t="n">
        <v>2020</v>
      </c>
      <c r="I75" t="inlineStr">
        <is>
          <t>FY</t>
        </is>
      </c>
      <c r="J75" t="inlineStr">
        <is>
          <t>20-F</t>
        </is>
      </c>
      <c r="K75" t="inlineStr">
        <is>
          <t>2021-04-01</t>
        </is>
      </c>
      <c r="L75" t="inlineStr">
        <is>
          <t>0001513845-21-000014</t>
        </is>
      </c>
      <c r="M75" t="inlineStr">
        <is>
          <t>CY2020</t>
        </is>
      </c>
    </row>
    <row r="76">
      <c r="A76" t="inlineStr">
        <is>
          <t>cost_of_revenue</t>
        </is>
      </c>
      <c r="B76" t="inlineStr">
        <is>
          <t>CostOfRevenue</t>
        </is>
      </c>
      <c r="C76" t="inlineStr">
        <is>
          <t>us-gaap</t>
        </is>
      </c>
      <c r="D76" t="inlineStr">
        <is>
          <t>USD</t>
        </is>
      </c>
      <c r="E76" t="inlineStr">
        <is>
          <t>2021-01-01</t>
        </is>
      </c>
      <c r="F76" t="inlineStr">
        <is>
          <t>2021-12-31</t>
        </is>
      </c>
      <c r="G76" t="n">
        <v>2341400000</v>
      </c>
      <c r="H76" t="n">
        <v>2021</v>
      </c>
      <c r="I76" t="inlineStr">
        <is>
          <t>FY</t>
        </is>
      </c>
      <c r="J76" t="inlineStr">
        <is>
          <t>20-F</t>
        </is>
      </c>
      <c r="K76" t="inlineStr">
        <is>
          <t>2022-04-20</t>
        </is>
      </c>
      <c r="L76" t="inlineStr">
        <is>
          <t>0001558370-22-005654</t>
        </is>
      </c>
      <c r="M76" t="inlineStr">
        <is>
          <t>CY2021</t>
        </is>
      </c>
    </row>
    <row r="77">
      <c r="A77" t="inlineStr">
        <is>
          <t>cost_of_revenue</t>
        </is>
      </c>
      <c r="B77" t="inlineStr">
        <is>
          <t>CostOfRevenue</t>
        </is>
      </c>
      <c r="C77" t="inlineStr">
        <is>
          <t>us-gaap</t>
        </is>
      </c>
      <c r="D77" t="inlineStr">
        <is>
          <t>USD</t>
        </is>
      </c>
      <c r="E77" t="inlineStr">
        <is>
          <t>2022-01-01</t>
        </is>
      </c>
      <c r="F77" t="inlineStr">
        <is>
          <t>2022-12-31</t>
        </is>
      </c>
      <c r="G77" t="n">
        <v>3315700000</v>
      </c>
      <c r="H77" t="n">
        <v>2022</v>
      </c>
      <c r="I77" t="inlineStr">
        <is>
          <t>FY</t>
        </is>
      </c>
      <c r="J77" t="inlineStr">
        <is>
          <t>20-F</t>
        </is>
      </c>
      <c r="K77" t="inlineStr">
        <is>
          <t>2023-04-20</t>
        </is>
      </c>
      <c r="L77" t="inlineStr">
        <is>
          <t>0001558370-23-006319</t>
        </is>
      </c>
    </row>
    <row r="78">
      <c r="A78" t="inlineStr">
        <is>
          <t>cost_of_revenue</t>
        </is>
      </c>
      <c r="B78" t="inlineStr">
        <is>
          <t>CostOfRevenue</t>
        </is>
      </c>
      <c r="C78" t="inlineStr">
        <is>
          <t>us-gaap</t>
        </is>
      </c>
      <c r="D78" t="inlineStr">
        <is>
          <t>USD</t>
        </is>
      </c>
      <c r="E78" t="inlineStr">
        <is>
          <t>2022-01-01</t>
        </is>
      </c>
      <c r="F78" t="inlineStr">
        <is>
          <t>2022-12-31</t>
        </is>
      </c>
      <c r="G78" t="n">
        <v>28400000</v>
      </c>
      <c r="H78" t="n">
        <v>2024</v>
      </c>
      <c r="I78" t="inlineStr">
        <is>
          <t>FY</t>
        </is>
      </c>
      <c r="J78" t="inlineStr">
        <is>
          <t>20-F</t>
        </is>
      </c>
      <c r="K78" t="inlineStr">
        <is>
          <t>2025-04-30</t>
        </is>
      </c>
      <c r="L78" t="inlineStr">
        <is>
          <t>0001558370-25-005991</t>
        </is>
      </c>
      <c r="M78" t="inlineStr">
        <is>
          <t>CY2022</t>
        </is>
      </c>
    </row>
    <row r="79">
      <c r="A79" t="inlineStr">
        <is>
          <t>cost_of_revenue</t>
        </is>
      </c>
      <c r="B79" t="inlineStr">
        <is>
          <t>CostOfRevenue</t>
        </is>
      </c>
      <c r="C79" t="inlineStr">
        <is>
          <t>us-gaap</t>
        </is>
      </c>
      <c r="D79" t="inlineStr">
        <is>
          <t>USD</t>
        </is>
      </c>
      <c r="E79" t="inlineStr">
        <is>
          <t>2023-01-01</t>
        </is>
      </c>
      <c r="F79" t="inlineStr">
        <is>
          <t>2023-12-31</t>
        </is>
      </c>
      <c r="G79" t="n">
        <v>4014300000</v>
      </c>
      <c r="H79" t="n">
        <v>2023</v>
      </c>
      <c r="I79" t="inlineStr">
        <is>
          <t>FY</t>
        </is>
      </c>
      <c r="J79" t="inlineStr">
        <is>
          <t>20-F</t>
        </is>
      </c>
      <c r="K79" t="inlineStr">
        <is>
          <t>2024-04-26</t>
        </is>
      </c>
      <c r="L79" t="inlineStr">
        <is>
          <t>0001558370-24-005891</t>
        </is>
      </c>
    </row>
    <row r="80">
      <c r="A80" t="inlineStr">
        <is>
          <t>cost_of_revenue</t>
        </is>
      </c>
      <c r="B80" t="inlineStr">
        <is>
          <t>CostOfRevenue</t>
        </is>
      </c>
      <c r="C80" t="inlineStr">
        <is>
          <t>us-gaap</t>
        </is>
      </c>
      <c r="D80" t="inlineStr">
        <is>
          <t>USD</t>
        </is>
      </c>
      <c r="E80" t="inlineStr">
        <is>
          <t>2023-01-01</t>
        </is>
      </c>
      <c r="F80" t="inlineStr">
        <is>
          <t>2023-12-31</t>
        </is>
      </c>
      <c r="G80" t="n">
        <v>31900000</v>
      </c>
      <c r="H80" t="n">
        <v>2024</v>
      </c>
      <c r="I80" t="inlineStr">
        <is>
          <t>FY</t>
        </is>
      </c>
      <c r="J80" t="inlineStr">
        <is>
          <t>20-F</t>
        </is>
      </c>
      <c r="K80" t="inlineStr">
        <is>
          <t>2025-04-30</t>
        </is>
      </c>
      <c r="L80" t="inlineStr">
        <is>
          <t>0001558370-25-005991</t>
        </is>
      </c>
    </row>
    <row r="81">
      <c r="A81" t="inlineStr">
        <is>
          <t>cost_of_revenue</t>
        </is>
      </c>
      <c r="B81" t="inlineStr">
        <is>
          <t>CostOfRevenue</t>
        </is>
      </c>
      <c r="C81" t="inlineStr">
        <is>
          <t>us-gaap</t>
        </is>
      </c>
      <c r="D81" t="inlineStr">
        <is>
          <t>USD</t>
        </is>
      </c>
      <c r="E81" t="inlineStr">
        <is>
          <t>2023-01-01</t>
        </is>
      </c>
      <c r="F81" t="inlineStr">
        <is>
          <t>2023-12-31</t>
        </is>
      </c>
      <c r="G81" t="n">
        <v>19600000</v>
      </c>
      <c r="H81" t="n">
        <v>2025</v>
      </c>
      <c r="I81" t="inlineStr">
        <is>
          <t>FY</t>
        </is>
      </c>
      <c r="J81" t="inlineStr">
        <is>
          <t>20-F</t>
        </is>
      </c>
      <c r="K81" t="inlineStr">
        <is>
          <t>2026-04-30</t>
        </is>
      </c>
      <c r="L81" t="inlineStr">
        <is>
          <t>0001104659-26-052948</t>
        </is>
      </c>
      <c r="M81" t="inlineStr">
        <is>
          <t>CY2023</t>
        </is>
      </c>
    </row>
    <row r="82">
      <c r="A82" t="inlineStr">
        <is>
          <t>cost_of_revenue</t>
        </is>
      </c>
      <c r="B82" t="inlineStr">
        <is>
          <t>CostOfRevenue</t>
        </is>
      </c>
      <c r="C82" t="inlineStr">
        <is>
          <t>us-gaap</t>
        </is>
      </c>
      <c r="D82" t="inlineStr">
        <is>
          <t>USD</t>
        </is>
      </c>
      <c r="E82" t="inlineStr">
        <is>
          <t>2024-01-01</t>
        </is>
      </c>
      <c r="F82" t="inlineStr">
        <is>
          <t>2024-12-31</t>
        </is>
      </c>
      <c r="G82" t="n">
        <v>73400000</v>
      </c>
      <c r="H82" t="n">
        <v>2024</v>
      </c>
      <c r="I82" t="inlineStr">
        <is>
          <t>FY</t>
        </is>
      </c>
      <c r="J82" t="inlineStr">
        <is>
          <t>20-F</t>
        </is>
      </c>
      <c r="K82" t="inlineStr">
        <is>
          <t>2025-04-30</t>
        </is>
      </c>
      <c r="L82" t="inlineStr">
        <is>
          <t>0001558370-25-005991</t>
        </is>
      </c>
    </row>
    <row r="83">
      <c r="A83" t="inlineStr">
        <is>
          <t>cost_of_revenue</t>
        </is>
      </c>
      <c r="B83" t="inlineStr">
        <is>
          <t>CostOfRevenue</t>
        </is>
      </c>
      <c r="C83" t="inlineStr">
        <is>
          <t>us-gaap</t>
        </is>
      </c>
      <c r="D83" t="inlineStr">
        <is>
          <t>USD</t>
        </is>
      </c>
      <c r="E83" t="inlineStr">
        <is>
          <t>2024-01-01</t>
        </is>
      </c>
      <c r="F83" t="inlineStr">
        <is>
          <t>2024-12-31</t>
        </is>
      </c>
      <c r="G83" t="n">
        <v>43700000</v>
      </c>
      <c r="H83" t="n">
        <v>2025</v>
      </c>
      <c r="I83" t="inlineStr">
        <is>
          <t>FY</t>
        </is>
      </c>
      <c r="J83" t="inlineStr">
        <is>
          <t>20-F</t>
        </is>
      </c>
      <c r="K83" t="inlineStr">
        <is>
          <t>2026-04-30</t>
        </is>
      </c>
      <c r="L83" t="inlineStr">
        <is>
          <t>0001104659-26-052948</t>
        </is>
      </c>
      <c r="M83" t="inlineStr">
        <is>
          <t>CY2024</t>
        </is>
      </c>
    </row>
    <row r="84">
      <c r="A84" t="inlineStr">
        <is>
          <t>cost_of_revenue</t>
        </is>
      </c>
      <c r="B84" t="inlineStr">
        <is>
          <t>CostOfRevenue</t>
        </is>
      </c>
      <c r="C84" t="inlineStr">
        <is>
          <t>us-gaap</t>
        </is>
      </c>
      <c r="D84" t="inlineStr">
        <is>
          <t>USD</t>
        </is>
      </c>
      <c r="E84" t="inlineStr">
        <is>
          <t>2025-01-01</t>
        </is>
      </c>
      <c r="F84" t="inlineStr">
        <is>
          <t>2025-12-31</t>
        </is>
      </c>
      <c r="G84" t="n">
        <v>166200000</v>
      </c>
      <c r="H84" t="n">
        <v>2025</v>
      </c>
      <c r="I84" t="inlineStr">
        <is>
          <t>FY</t>
        </is>
      </c>
      <c r="J84" t="inlineStr">
        <is>
          <t>20-F</t>
        </is>
      </c>
      <c r="K84" t="inlineStr">
        <is>
          <t>2026-04-30</t>
        </is>
      </c>
      <c r="L84" t="inlineStr">
        <is>
          <t>0001104659-26-052948</t>
        </is>
      </c>
      <c r="M84" t="inlineStr">
        <is>
          <t>CY2025</t>
        </is>
      </c>
    </row>
    <row r="85">
      <c r="A85" t="inlineStr">
        <is>
          <t>d_and_a</t>
        </is>
      </c>
      <c r="B85" t="inlineStr">
        <is>
          <t>DepreciationAndAmortization</t>
        </is>
      </c>
      <c r="C85" t="inlineStr">
        <is>
          <t>us-gaap</t>
        </is>
      </c>
      <c r="D85" t="inlineStr">
        <is>
          <t>USD</t>
        </is>
      </c>
      <c r="E85" t="inlineStr">
        <is>
          <t>2011-01-01</t>
        </is>
      </c>
      <c r="F85" t="inlineStr">
        <is>
          <t>2011-12-31</t>
        </is>
      </c>
      <c r="G85" t="n">
        <v>58200000</v>
      </c>
      <c r="H85" t="n">
        <v>2011</v>
      </c>
      <c r="I85" t="inlineStr">
        <is>
          <t>FY</t>
        </is>
      </c>
      <c r="J85" t="inlineStr">
        <is>
          <t>20-F</t>
        </is>
      </c>
      <c r="K85" t="inlineStr">
        <is>
          <t>2012-03-02</t>
        </is>
      </c>
      <c r="L85" t="inlineStr">
        <is>
          <t>0001047469-12-002052</t>
        </is>
      </c>
      <c r="M85" t="inlineStr">
        <is>
          <t>CY2011</t>
        </is>
      </c>
    </row>
    <row r="86">
      <c r="A86" t="inlineStr">
        <is>
          <t>d_and_a</t>
        </is>
      </c>
      <c r="B86" t="inlineStr">
        <is>
          <t>DepreciationAndAmortization</t>
        </is>
      </c>
      <c r="C86" t="inlineStr">
        <is>
          <t>us-gaap</t>
        </is>
      </c>
      <c r="D86" t="inlineStr">
        <is>
          <t>USD</t>
        </is>
      </c>
      <c r="E86" t="inlineStr">
        <is>
          <t>2012-01-01</t>
        </is>
      </c>
      <c r="F86" t="inlineStr">
        <is>
          <t>2012-12-31</t>
        </is>
      </c>
      <c r="G86" t="n">
        <v>97200000</v>
      </c>
      <c r="H86" t="n">
        <v>2012</v>
      </c>
      <c r="I86" t="inlineStr">
        <is>
          <t>FY</t>
        </is>
      </c>
      <c r="J86" t="inlineStr">
        <is>
          <t>20-F</t>
        </is>
      </c>
      <c r="K86" t="inlineStr">
        <is>
          <t>2013-04-09</t>
        </is>
      </c>
      <c r="L86" t="inlineStr">
        <is>
          <t>0001047469-13-004131</t>
        </is>
      </c>
      <c r="M86" t="inlineStr">
        <is>
          <t>CY2012</t>
        </is>
      </c>
    </row>
    <row r="87">
      <c r="A87" t="inlineStr">
        <is>
          <t>d_and_a</t>
        </is>
      </c>
      <c r="B87" t="inlineStr">
        <is>
          <t>DepreciationAndAmortization</t>
        </is>
      </c>
      <c r="C87" t="inlineStr">
        <is>
          <t>us-gaap</t>
        </is>
      </c>
      <c r="D87" t="inlineStr">
        <is>
          <t>USD</t>
        </is>
      </c>
      <c r="E87" t="inlineStr">
        <is>
          <t>2013-01-01</t>
        </is>
      </c>
      <c r="F87" t="inlineStr">
        <is>
          <t>2013-12-31</t>
        </is>
      </c>
      <c r="G87" t="n">
        <v>112900000</v>
      </c>
      <c r="H87" t="n">
        <v>2013</v>
      </c>
      <c r="I87" t="inlineStr">
        <is>
          <t>FY</t>
        </is>
      </c>
      <c r="J87" t="inlineStr">
        <is>
          <t>20-F</t>
        </is>
      </c>
      <c r="K87" t="inlineStr">
        <is>
          <t>2014-04-04</t>
        </is>
      </c>
      <c r="L87" t="inlineStr">
        <is>
          <t>0001047469-14-003438</t>
        </is>
      </c>
      <c r="M87" t="inlineStr">
        <is>
          <t>CY2013</t>
        </is>
      </c>
    </row>
    <row r="88">
      <c r="A88" t="inlineStr">
        <is>
          <t>d_and_a</t>
        </is>
      </c>
      <c r="B88" t="inlineStr">
        <is>
          <t>DepreciationAndAmortization</t>
        </is>
      </c>
      <c r="C88" t="inlineStr">
        <is>
          <t>us-gaap</t>
        </is>
      </c>
      <c r="D88" t="inlineStr">
        <is>
          <t>USD</t>
        </is>
      </c>
      <c r="E88" t="inlineStr">
        <is>
          <t>2014-01-01</t>
        </is>
      </c>
      <c r="F88" t="inlineStr">
        <is>
          <t>2014-12-31</t>
        </is>
      </c>
      <c r="G88" t="n">
        <v>79700000</v>
      </c>
      <c r="H88" t="n">
        <v>2014</v>
      </c>
      <c r="I88" t="inlineStr">
        <is>
          <t>FY</t>
        </is>
      </c>
      <c r="J88" t="inlineStr">
        <is>
          <t>20-F</t>
        </is>
      </c>
      <c r="K88" t="inlineStr">
        <is>
          <t>2015-04-30</t>
        </is>
      </c>
      <c r="L88" t="inlineStr">
        <is>
          <t>0001047469-15-004230</t>
        </is>
      </c>
      <c r="M88" t="inlineStr">
        <is>
          <t>CY2014</t>
        </is>
      </c>
    </row>
    <row r="89">
      <c r="A89" t="inlineStr">
        <is>
          <t>d_and_a</t>
        </is>
      </c>
      <c r="B89" t="inlineStr">
        <is>
          <t>DepreciationAndAmortization</t>
        </is>
      </c>
      <c r="C89" t="inlineStr">
        <is>
          <t>us-gaap</t>
        </is>
      </c>
      <c r="D89" t="inlineStr">
        <is>
          <t>USD</t>
        </is>
      </c>
      <c r="E89" t="inlineStr">
        <is>
          <t>2015-01-01</t>
        </is>
      </c>
      <c r="F89" t="inlineStr">
        <is>
          <t>2015-12-31</t>
        </is>
      </c>
      <c r="G89" t="n">
        <v>106900000</v>
      </c>
      <c r="H89" t="n">
        <v>2015</v>
      </c>
      <c r="I89" t="inlineStr">
        <is>
          <t>FY</t>
        </is>
      </c>
      <c r="J89" t="inlineStr">
        <is>
          <t>20-F</t>
        </is>
      </c>
      <c r="K89" t="inlineStr">
        <is>
          <t>2016-03-22</t>
        </is>
      </c>
      <c r="L89" t="inlineStr">
        <is>
          <t>0001047469-16-011404</t>
        </is>
      </c>
      <c r="M89" t="inlineStr">
        <is>
          <t>CY2015</t>
        </is>
      </c>
    </row>
    <row r="90">
      <c r="A90" t="inlineStr">
        <is>
          <t>d_and_a</t>
        </is>
      </c>
      <c r="B90" t="inlineStr">
        <is>
          <t>DepreciationAndAmortization</t>
        </is>
      </c>
      <c r="C90" t="inlineStr">
        <is>
          <t>us-gaap</t>
        </is>
      </c>
      <c r="D90" t="inlineStr">
        <is>
          <t>USD</t>
        </is>
      </c>
      <c r="E90" t="inlineStr">
        <is>
          <t>2016-01-01</t>
        </is>
      </c>
      <c r="F90" t="inlineStr">
        <is>
          <t>2016-12-31</t>
        </is>
      </c>
      <c r="G90" t="n">
        <v>158400000</v>
      </c>
      <c r="H90" t="n">
        <v>2016</v>
      </c>
      <c r="I90" t="inlineStr">
        <is>
          <t>FY</t>
        </is>
      </c>
      <c r="J90" t="inlineStr">
        <is>
          <t>20-F</t>
        </is>
      </c>
      <c r="K90" t="inlineStr">
        <is>
          <t>2017-03-22</t>
        </is>
      </c>
      <c r="L90" t="inlineStr">
        <is>
          <t>0001513845-17-000004</t>
        </is>
      </c>
      <c r="M90" t="inlineStr">
        <is>
          <t>CY2016</t>
        </is>
      </c>
    </row>
    <row r="91">
      <c r="A91" t="inlineStr">
        <is>
          <t>d_and_a</t>
        </is>
      </c>
      <c r="B91" t="inlineStr">
        <is>
          <t>DepreciationAndAmortization</t>
        </is>
      </c>
      <c r="C91" t="inlineStr">
        <is>
          <t>us-gaap</t>
        </is>
      </c>
      <c r="D91" t="inlineStr">
        <is>
          <t>USD</t>
        </is>
      </c>
      <c r="E91" t="inlineStr">
        <is>
          <t>2017-01-01</t>
        </is>
      </c>
      <c r="F91" t="inlineStr">
        <is>
          <t>2017-12-31</t>
        </is>
      </c>
      <c r="G91" t="n">
        <v>195100000</v>
      </c>
      <c r="H91" t="n">
        <v>2017</v>
      </c>
      <c r="I91" t="inlineStr">
        <is>
          <t>FY</t>
        </is>
      </c>
      <c r="J91" t="inlineStr">
        <is>
          <t>20-F</t>
        </is>
      </c>
      <c r="K91" t="inlineStr">
        <is>
          <t>2018-03-27</t>
        </is>
      </c>
      <c r="L91" t="inlineStr">
        <is>
          <t>0001513845-18-000013</t>
        </is>
      </c>
      <c r="M91" t="inlineStr">
        <is>
          <t>CY2017</t>
        </is>
      </c>
    </row>
    <row r="92">
      <c r="A92" t="inlineStr">
        <is>
          <t>d_and_a</t>
        </is>
      </c>
      <c r="B92" t="inlineStr">
        <is>
          <t>DepreciationAndAmortization</t>
        </is>
      </c>
      <c r="C92" t="inlineStr">
        <is>
          <t>us-gaap</t>
        </is>
      </c>
      <c r="D92" t="inlineStr">
        <is>
          <t>USD</t>
        </is>
      </c>
      <c r="E92" t="inlineStr">
        <is>
          <t>2018-01-01</t>
        </is>
      </c>
      <c r="F92" t="inlineStr">
        <is>
          <t>2018-12-31</t>
        </is>
      </c>
      <c r="G92" t="n">
        <v>174700000</v>
      </c>
      <c r="H92" t="n">
        <v>2018</v>
      </c>
      <c r="I92" t="inlineStr">
        <is>
          <t>FY</t>
        </is>
      </c>
      <c r="J92" t="inlineStr">
        <is>
          <t>20-F</t>
        </is>
      </c>
      <c r="K92" t="inlineStr">
        <is>
          <t>2019-04-19</t>
        </is>
      </c>
      <c r="L92" t="inlineStr">
        <is>
          <t>0001513845-19-000009</t>
        </is>
      </c>
      <c r="M92" t="inlineStr">
        <is>
          <t>CY2018</t>
        </is>
      </c>
    </row>
    <row r="93">
      <c r="A93" t="inlineStr">
        <is>
          <t>d_and_a</t>
        </is>
      </c>
      <c r="B93" t="inlineStr">
        <is>
          <t>DepreciationAndAmortization</t>
        </is>
      </c>
      <c r="C93" t="inlineStr">
        <is>
          <t>us-gaap</t>
        </is>
      </c>
      <c r="D93" t="inlineStr">
        <is>
          <t>USD</t>
        </is>
      </c>
      <c r="E93" t="inlineStr">
        <is>
          <t>2019-01-01</t>
        </is>
      </c>
      <c r="F93" t="inlineStr">
        <is>
          <t>2019-12-31</t>
        </is>
      </c>
      <c r="G93" t="n">
        <v>187400000</v>
      </c>
      <c r="H93" t="n">
        <v>2019</v>
      </c>
      <c r="I93" t="inlineStr">
        <is>
          <t>FY</t>
        </is>
      </c>
      <c r="J93" t="inlineStr">
        <is>
          <t>20-F/A</t>
        </is>
      </c>
      <c r="K93" t="inlineStr">
        <is>
          <t>2020-04-02</t>
        </is>
      </c>
      <c r="L93" t="inlineStr">
        <is>
          <t>0001558370-20-003563</t>
        </is>
      </c>
      <c r="M93" t="inlineStr">
        <is>
          <t>CY2019</t>
        </is>
      </c>
    </row>
    <row r="94">
      <c r="A94" t="inlineStr">
        <is>
          <t>d_and_a</t>
        </is>
      </c>
      <c r="B94" t="inlineStr">
        <is>
          <t>DepreciationAndAmortization</t>
        </is>
      </c>
      <c r="C94" t="inlineStr">
        <is>
          <t>us-gaap</t>
        </is>
      </c>
      <c r="D94" t="inlineStr">
        <is>
          <t>USD</t>
        </is>
      </c>
      <c r="E94" t="inlineStr">
        <is>
          <t>2020-01-01</t>
        </is>
      </c>
      <c r="F94" t="inlineStr">
        <is>
          <t>2020-12-31</t>
        </is>
      </c>
      <c r="G94" t="n">
        <v>239400000</v>
      </c>
      <c r="H94" t="n">
        <v>2020</v>
      </c>
      <c r="I94" t="inlineStr">
        <is>
          <t>FY</t>
        </is>
      </c>
      <c r="J94" t="inlineStr">
        <is>
          <t>20-F</t>
        </is>
      </c>
      <c r="K94" t="inlineStr">
        <is>
          <t>2021-04-01</t>
        </is>
      </c>
      <c r="L94" t="inlineStr">
        <is>
          <t>0001513845-21-000014</t>
        </is>
      </c>
      <c r="M94" t="inlineStr">
        <is>
          <t>CY2020</t>
        </is>
      </c>
    </row>
    <row r="95">
      <c r="A95" t="inlineStr">
        <is>
          <t>d_and_a</t>
        </is>
      </c>
      <c r="B95" t="inlineStr">
        <is>
          <t>DepreciationAndAmortization</t>
        </is>
      </c>
      <c r="C95" t="inlineStr">
        <is>
          <t>us-gaap</t>
        </is>
      </c>
      <c r="D95" t="inlineStr">
        <is>
          <t>USD</t>
        </is>
      </c>
      <c r="E95" t="inlineStr">
        <is>
          <t>2021-01-01</t>
        </is>
      </c>
      <c r="F95" t="inlineStr">
        <is>
          <t>2021-12-31</t>
        </is>
      </c>
      <c r="G95" t="n">
        <v>324500000</v>
      </c>
      <c r="H95" t="n">
        <v>2021</v>
      </c>
      <c r="I95" t="inlineStr">
        <is>
          <t>FY</t>
        </is>
      </c>
      <c r="J95" t="inlineStr">
        <is>
          <t>20-F</t>
        </is>
      </c>
      <c r="K95" t="inlineStr">
        <is>
          <t>2022-04-20</t>
        </is>
      </c>
      <c r="L95" t="inlineStr">
        <is>
          <t>0001558370-22-005654</t>
        </is>
      </c>
      <c r="M95" t="inlineStr">
        <is>
          <t>CY2021</t>
        </is>
      </c>
    </row>
    <row r="96">
      <c r="A96" t="inlineStr">
        <is>
          <t>d_and_a</t>
        </is>
      </c>
      <c r="B96" t="inlineStr">
        <is>
          <t>DepreciationAndAmortization</t>
        </is>
      </c>
      <c r="C96" t="inlineStr">
        <is>
          <t>us-gaap</t>
        </is>
      </c>
      <c r="D96" t="inlineStr">
        <is>
          <t>USD</t>
        </is>
      </c>
      <c r="E96" t="inlineStr">
        <is>
          <t>2022-01-01</t>
        </is>
      </c>
      <c r="F96" t="inlineStr">
        <is>
          <t>2022-12-31</t>
        </is>
      </c>
      <c r="G96" t="n">
        <v>438900000</v>
      </c>
      <c r="H96" t="n">
        <v>2022</v>
      </c>
      <c r="I96" t="inlineStr">
        <is>
          <t>FY</t>
        </is>
      </c>
      <c r="J96" t="inlineStr">
        <is>
          <t>20-F</t>
        </is>
      </c>
      <c r="K96" t="inlineStr">
        <is>
          <t>2023-04-20</t>
        </is>
      </c>
      <c r="L96" t="inlineStr">
        <is>
          <t>0001558370-23-006319</t>
        </is>
      </c>
    </row>
    <row r="97">
      <c r="A97" t="inlineStr">
        <is>
          <t>d_and_a</t>
        </is>
      </c>
      <c r="B97" t="inlineStr">
        <is>
          <t>DepreciationAndAmortization</t>
        </is>
      </c>
      <c r="C97" t="inlineStr">
        <is>
          <t>us-gaap</t>
        </is>
      </c>
      <c r="D97" t="inlineStr">
        <is>
          <t>USD</t>
        </is>
      </c>
      <c r="E97" t="inlineStr">
        <is>
          <t>2022-01-01</t>
        </is>
      </c>
      <c r="F97" t="inlineStr">
        <is>
          <t>2022-12-31</t>
        </is>
      </c>
      <c r="G97" t="n">
        <v>27500000</v>
      </c>
      <c r="H97" t="n">
        <v>2024</v>
      </c>
      <c r="I97" t="inlineStr">
        <is>
          <t>FY</t>
        </is>
      </c>
      <c r="J97" t="inlineStr">
        <is>
          <t>20-F</t>
        </is>
      </c>
      <c r="K97" t="inlineStr">
        <is>
          <t>2025-04-30</t>
        </is>
      </c>
      <c r="L97" t="inlineStr">
        <is>
          <t>0001558370-25-005991</t>
        </is>
      </c>
      <c r="M97" t="inlineStr">
        <is>
          <t>CY2022</t>
        </is>
      </c>
    </row>
    <row r="98">
      <c r="A98" t="inlineStr">
        <is>
          <t>d_and_a</t>
        </is>
      </c>
      <c r="B98" t="inlineStr">
        <is>
          <t>DepreciationAndAmortization</t>
        </is>
      </c>
      <c r="C98" t="inlineStr">
        <is>
          <t>us-gaap</t>
        </is>
      </c>
      <c r="D98" t="inlineStr">
        <is>
          <t>USD</t>
        </is>
      </c>
      <c r="E98" t="inlineStr">
        <is>
          <t>2023-01-01</t>
        </is>
      </c>
      <c r="F98" t="inlineStr">
        <is>
          <t>2023-12-31</t>
        </is>
      </c>
      <c r="G98" t="n">
        <v>445500000</v>
      </c>
      <c r="H98" t="n">
        <v>2023</v>
      </c>
      <c r="I98" t="inlineStr">
        <is>
          <t>FY</t>
        </is>
      </c>
      <c r="J98" t="inlineStr">
        <is>
          <t>20-F</t>
        </is>
      </c>
      <c r="K98" t="inlineStr">
        <is>
          <t>2024-04-26</t>
        </is>
      </c>
      <c r="L98" t="inlineStr">
        <is>
          <t>0001558370-24-005891</t>
        </is>
      </c>
    </row>
    <row r="99">
      <c r="A99" t="inlineStr">
        <is>
          <t>d_and_a</t>
        </is>
      </c>
      <c r="B99" t="inlineStr">
        <is>
          <t>DepreciationAndAmortization</t>
        </is>
      </c>
      <c r="C99" t="inlineStr">
        <is>
          <t>us-gaap</t>
        </is>
      </c>
      <c r="D99" t="inlineStr">
        <is>
          <t>USD</t>
        </is>
      </c>
      <c r="E99" t="inlineStr">
        <is>
          <t>2023-01-01</t>
        </is>
      </c>
      <c r="F99" t="inlineStr">
        <is>
          <t>2023-12-31</t>
        </is>
      </c>
      <c r="G99" t="n">
        <v>29300000</v>
      </c>
      <c r="H99" t="n">
        <v>2024</v>
      </c>
      <c r="I99" t="inlineStr">
        <is>
          <t>FY</t>
        </is>
      </c>
      <c r="J99" t="inlineStr">
        <is>
          <t>20-F</t>
        </is>
      </c>
      <c r="K99" t="inlineStr">
        <is>
          <t>2025-04-30</t>
        </is>
      </c>
      <c r="L99" t="inlineStr">
        <is>
          <t>0001558370-25-005991</t>
        </is>
      </c>
    </row>
    <row r="100">
      <c r="A100" t="inlineStr">
        <is>
          <t>d_and_a</t>
        </is>
      </c>
      <c r="B100" t="inlineStr">
        <is>
          <t>DepreciationAndAmortization</t>
        </is>
      </c>
      <c r="C100" t="inlineStr">
        <is>
          <t>us-gaap</t>
        </is>
      </c>
      <c r="D100" t="inlineStr">
        <is>
          <t>USD</t>
        </is>
      </c>
      <c r="E100" t="inlineStr">
        <is>
          <t>2023-01-01</t>
        </is>
      </c>
      <c r="F100" t="inlineStr">
        <is>
          <t>2023-12-31</t>
        </is>
      </c>
      <c r="G100" t="n">
        <v>29300000</v>
      </c>
      <c r="H100" t="n">
        <v>2025</v>
      </c>
      <c r="I100" t="inlineStr">
        <is>
          <t>FY</t>
        </is>
      </c>
      <c r="J100" t="inlineStr">
        <is>
          <t>20-F</t>
        </is>
      </c>
      <c r="K100" t="inlineStr">
        <is>
          <t>2026-04-30</t>
        </is>
      </c>
      <c r="L100" t="inlineStr">
        <is>
          <t>0001104659-26-052948</t>
        </is>
      </c>
      <c r="M100" t="inlineStr">
        <is>
          <t>CY2023</t>
        </is>
      </c>
    </row>
    <row r="101">
      <c r="A101" t="inlineStr">
        <is>
          <t>d_and_a</t>
        </is>
      </c>
      <c r="B101" t="inlineStr">
        <is>
          <t>DepreciationAndAmortization</t>
        </is>
      </c>
      <c r="C101" t="inlineStr">
        <is>
          <t>us-gaap</t>
        </is>
      </c>
      <c r="D101" t="inlineStr">
        <is>
          <t>USD</t>
        </is>
      </c>
      <c r="E101" t="inlineStr">
        <is>
          <t>2024-01-01</t>
        </is>
      </c>
      <c r="F101" t="inlineStr">
        <is>
          <t>2024-12-31</t>
        </is>
      </c>
      <c r="G101" t="n">
        <v>77300000</v>
      </c>
      <c r="H101" t="n">
        <v>2024</v>
      </c>
      <c r="I101" t="inlineStr">
        <is>
          <t>FY</t>
        </is>
      </c>
      <c r="J101" t="inlineStr">
        <is>
          <t>20-F</t>
        </is>
      </c>
      <c r="K101" t="inlineStr">
        <is>
          <t>2025-04-30</t>
        </is>
      </c>
      <c r="L101" t="inlineStr">
        <is>
          <t>0001558370-25-005991</t>
        </is>
      </c>
    </row>
    <row r="102">
      <c r="A102" t="inlineStr">
        <is>
          <t>d_and_a</t>
        </is>
      </c>
      <c r="B102" t="inlineStr">
        <is>
          <t>DepreciationAndAmortization</t>
        </is>
      </c>
      <c r="C102" t="inlineStr">
        <is>
          <t>us-gaap</t>
        </is>
      </c>
      <c r="D102" t="inlineStr">
        <is>
          <t>USD</t>
        </is>
      </c>
      <c r="E102" t="inlineStr">
        <is>
          <t>2024-01-01</t>
        </is>
      </c>
      <c r="F102" t="inlineStr">
        <is>
          <t>2024-12-31</t>
        </is>
      </c>
      <c r="G102" t="n">
        <v>77100000</v>
      </c>
      <c r="H102" t="n">
        <v>2025</v>
      </c>
      <c r="I102" t="inlineStr">
        <is>
          <t>FY</t>
        </is>
      </c>
      <c r="J102" t="inlineStr">
        <is>
          <t>20-F</t>
        </is>
      </c>
      <c r="K102" t="inlineStr">
        <is>
          <t>2026-04-30</t>
        </is>
      </c>
      <c r="L102" t="inlineStr">
        <is>
          <t>0001104659-26-052948</t>
        </is>
      </c>
      <c r="M102" t="inlineStr">
        <is>
          <t>CY2024</t>
        </is>
      </c>
    </row>
    <row r="103">
      <c r="A103" t="inlineStr">
        <is>
          <t>d_and_a</t>
        </is>
      </c>
      <c r="B103" t="inlineStr">
        <is>
          <t>DepreciationAndAmortization</t>
        </is>
      </c>
      <c r="C103" t="inlineStr">
        <is>
          <t>us-gaap</t>
        </is>
      </c>
      <c r="D103" t="inlineStr">
        <is>
          <t>USD</t>
        </is>
      </c>
      <c r="E103" t="inlineStr">
        <is>
          <t>2025-01-01</t>
        </is>
      </c>
      <c r="F103" t="inlineStr">
        <is>
          <t>2025-12-31</t>
        </is>
      </c>
      <c r="G103" t="n">
        <v>417900000</v>
      </c>
      <c r="H103" t="n">
        <v>2025</v>
      </c>
      <c r="I103" t="inlineStr">
        <is>
          <t>FY</t>
        </is>
      </c>
      <c r="J103" t="inlineStr">
        <is>
          <t>20-F</t>
        </is>
      </c>
      <c r="K103" t="inlineStr">
        <is>
          <t>2026-04-30</t>
        </is>
      </c>
      <c r="L103" t="inlineStr">
        <is>
          <t>0001104659-26-052948</t>
        </is>
      </c>
      <c r="M103" t="inlineStr">
        <is>
          <t>CY2025</t>
        </is>
      </c>
    </row>
    <row r="104">
      <c r="A104" t="inlineStr">
        <is>
          <t>debt_principal</t>
        </is>
      </c>
      <c r="B104" t="inlineStr">
        <is>
          <t>DebtInstrumentCarryingAmount</t>
        </is>
      </c>
      <c r="C104" t="inlineStr">
        <is>
          <t>us-gaap</t>
        </is>
      </c>
      <c r="D104" t="inlineStr">
        <is>
          <t>USD</t>
        </is>
      </c>
      <c r="F104" t="inlineStr">
        <is>
          <t>2025-12-31</t>
        </is>
      </c>
      <c r="G104" t="n">
        <v>4836800000</v>
      </c>
      <c r="H104" t="n">
        <v>2025</v>
      </c>
      <c r="I104" t="inlineStr">
        <is>
          <t>FY</t>
        </is>
      </c>
      <c r="J104" t="inlineStr">
        <is>
          <t>20-F</t>
        </is>
      </c>
      <c r="K104" t="inlineStr">
        <is>
          <t>2026-04-30</t>
        </is>
      </c>
      <c r="L104" t="inlineStr">
        <is>
          <t>0001104659-26-052948</t>
        </is>
      </c>
      <c r="M104" t="inlineStr">
        <is>
          <t>CY2025Q4I</t>
        </is>
      </c>
    </row>
    <row r="105">
      <c r="A105" t="inlineStr">
        <is>
          <t>debt_proceeds</t>
        </is>
      </c>
      <c r="B105" t="inlineStr">
        <is>
          <t>ProceedsFromIssuanceOfLongTermDebt</t>
        </is>
      </c>
      <c r="C105" t="inlineStr">
        <is>
          <t>us-gaap</t>
        </is>
      </c>
      <c r="D105" t="inlineStr">
        <is>
          <t>USD</t>
        </is>
      </c>
      <c r="E105" t="inlineStr">
        <is>
          <t>2025-01-01</t>
        </is>
      </c>
      <c r="F105" t="inlineStr">
        <is>
          <t>2025-12-31</t>
        </is>
      </c>
      <c r="G105" t="n">
        <v>4162500000</v>
      </c>
      <c r="H105" t="n">
        <v>2025</v>
      </c>
      <c r="I105" t="inlineStr">
        <is>
          <t>FY</t>
        </is>
      </c>
      <c r="J105" t="inlineStr">
        <is>
          <t>20-F</t>
        </is>
      </c>
      <c r="K105" t="inlineStr">
        <is>
          <t>2026-04-30</t>
        </is>
      </c>
      <c r="L105" t="inlineStr">
        <is>
          <t>0001104659-26-052948</t>
        </is>
      </c>
      <c r="M105" t="inlineStr">
        <is>
          <t>CY2025</t>
        </is>
      </c>
    </row>
    <row r="106">
      <c r="A106" t="inlineStr">
        <is>
          <t>debt_repayments</t>
        </is>
      </c>
      <c r="B106" t="inlineStr">
        <is>
          <t>RepaymentsOfDebt</t>
        </is>
      </c>
      <c r="C106" t="inlineStr">
        <is>
          <t>us-gaap</t>
        </is>
      </c>
      <c r="D106" t="inlineStr">
        <is>
          <t>USD</t>
        </is>
      </c>
      <c r="E106" t="inlineStr">
        <is>
          <t>2022-01-01</t>
        </is>
      </c>
      <c r="F106" t="inlineStr">
        <is>
          <t>2022-12-31</t>
        </is>
      </c>
      <c r="G106" t="n">
        <v>704600000</v>
      </c>
      <c r="H106" t="n">
        <v>2022</v>
      </c>
      <c r="I106" t="inlineStr">
        <is>
          <t>FY</t>
        </is>
      </c>
      <c r="J106" t="inlineStr">
        <is>
          <t>20-F</t>
        </is>
      </c>
      <c r="K106" t="inlineStr">
        <is>
          <t>2023-04-20</t>
        </is>
      </c>
      <c r="L106" t="inlineStr">
        <is>
          <t>0001558370-23-006319</t>
        </is>
      </c>
      <c r="M106" t="inlineStr">
        <is>
          <t>CY2022</t>
        </is>
      </c>
    </row>
    <row r="107">
      <c r="A107" t="inlineStr">
        <is>
          <t>debt_repayments</t>
        </is>
      </c>
      <c r="B107" t="inlineStr">
        <is>
          <t>RepaymentsOfDebt</t>
        </is>
      </c>
      <c r="C107" t="inlineStr">
        <is>
          <t>us-gaap</t>
        </is>
      </c>
      <c r="D107" t="inlineStr">
        <is>
          <t>USD</t>
        </is>
      </c>
      <c r="E107" t="inlineStr">
        <is>
          <t>2023-01-01</t>
        </is>
      </c>
      <c r="F107" t="inlineStr">
        <is>
          <t>2023-12-31</t>
        </is>
      </c>
      <c r="G107" t="n">
        <v>1536000000</v>
      </c>
      <c r="H107" t="n">
        <v>2023</v>
      </c>
      <c r="I107" t="inlineStr">
        <is>
          <t>FY</t>
        </is>
      </c>
      <c r="J107" t="inlineStr">
        <is>
          <t>20-F</t>
        </is>
      </c>
      <c r="K107" t="inlineStr">
        <is>
          <t>2024-04-26</t>
        </is>
      </c>
      <c r="L107" t="inlineStr">
        <is>
          <t>0001558370-24-005891</t>
        </is>
      </c>
      <c r="M107" t="inlineStr">
        <is>
          <t>CY2023</t>
        </is>
      </c>
    </row>
    <row r="108">
      <c r="A108" t="inlineStr">
        <is>
          <t>debt_repayments</t>
        </is>
      </c>
      <c r="B108" t="inlineStr">
        <is>
          <t>RepaymentsOfDebt</t>
        </is>
      </c>
      <c r="C108" t="inlineStr">
        <is>
          <t>us-gaap</t>
        </is>
      </c>
      <c r="D108" t="inlineStr">
        <is>
          <t>USD</t>
        </is>
      </c>
      <c r="E108" t="inlineStr">
        <is>
          <t>2024-01-01</t>
        </is>
      </c>
      <c r="F108" t="inlineStr">
        <is>
          <t>2024-12-31</t>
        </is>
      </c>
      <c r="G108" t="n">
        <v>700000</v>
      </c>
      <c r="H108" t="n">
        <v>2024</v>
      </c>
      <c r="I108" t="inlineStr">
        <is>
          <t>FY</t>
        </is>
      </c>
      <c r="J108" t="inlineStr">
        <is>
          <t>20-F</t>
        </is>
      </c>
      <c r="K108" t="inlineStr">
        <is>
          <t>2025-04-30</t>
        </is>
      </c>
      <c r="L108" t="inlineStr">
        <is>
          <t>0001558370-25-005991</t>
        </is>
      </c>
    </row>
    <row r="109">
      <c r="A109" t="inlineStr">
        <is>
          <t>debt_repayments</t>
        </is>
      </c>
      <c r="B109" t="inlineStr">
        <is>
          <t>RepaymentsOfDebt</t>
        </is>
      </c>
      <c r="C109" t="inlineStr">
        <is>
          <t>us-gaap</t>
        </is>
      </c>
      <c r="D109" t="inlineStr">
        <is>
          <t>USD</t>
        </is>
      </c>
      <c r="E109" t="inlineStr">
        <is>
          <t>2024-01-01</t>
        </is>
      </c>
      <c r="F109" t="inlineStr">
        <is>
          <t>2024-12-31</t>
        </is>
      </c>
      <c r="G109" t="n">
        <v>700000</v>
      </c>
      <c r="H109" t="n">
        <v>2025</v>
      </c>
      <c r="I109" t="inlineStr">
        <is>
          <t>FY</t>
        </is>
      </c>
      <c r="J109" t="inlineStr">
        <is>
          <t>20-F</t>
        </is>
      </c>
      <c r="K109" t="inlineStr">
        <is>
          <t>2026-04-30</t>
        </is>
      </c>
      <c r="L109" t="inlineStr">
        <is>
          <t>0001104659-26-052948</t>
        </is>
      </c>
      <c r="M109" t="inlineStr">
        <is>
          <t>CY2024</t>
        </is>
      </c>
    </row>
    <row r="110">
      <c r="A110" t="inlineStr">
        <is>
          <t>debt_repayments</t>
        </is>
      </c>
      <c r="B110" t="inlineStr">
        <is>
          <t>RepaymentsOfDebt</t>
        </is>
      </c>
      <c r="C110" t="inlineStr">
        <is>
          <t>us-gaap</t>
        </is>
      </c>
      <c r="D110" t="inlineStr">
        <is>
          <t>USD</t>
        </is>
      </c>
      <c r="E110" t="inlineStr">
        <is>
          <t>2025-01-01</t>
        </is>
      </c>
      <c r="F110" t="inlineStr">
        <is>
          <t>2025-12-31</t>
        </is>
      </c>
      <c r="G110" t="n">
        <v>800000</v>
      </c>
      <c r="H110" t="n">
        <v>2025</v>
      </c>
      <c r="I110" t="inlineStr">
        <is>
          <t>FY</t>
        </is>
      </c>
      <c r="J110" t="inlineStr">
        <is>
          <t>20-F</t>
        </is>
      </c>
      <c r="K110" t="inlineStr">
        <is>
          <t>2026-04-30</t>
        </is>
      </c>
      <c r="L110" t="inlineStr">
        <is>
          <t>0001104659-26-052948</t>
        </is>
      </c>
      <c r="M110" t="inlineStr">
        <is>
          <t>CY2025</t>
        </is>
      </c>
    </row>
    <row r="111">
      <c r="A111" t="inlineStr">
        <is>
          <t>deferred_revenue</t>
        </is>
      </c>
      <c r="B111" t="inlineStr">
        <is>
          <t>ContractWithCustomerLiability</t>
        </is>
      </c>
      <c r="C111" t="inlineStr">
        <is>
          <t>us-gaap</t>
        </is>
      </c>
      <c r="D111" t="inlineStr">
        <is>
          <t>USD</t>
        </is>
      </c>
      <c r="F111" t="inlineStr">
        <is>
          <t>2024-12-31</t>
        </is>
      </c>
      <c r="G111" t="n">
        <v>16300000</v>
      </c>
      <c r="H111" t="n">
        <v>2025</v>
      </c>
      <c r="I111" t="inlineStr">
        <is>
          <t>FY</t>
        </is>
      </c>
      <c r="J111" t="inlineStr">
        <is>
          <t>20-F</t>
        </is>
      </c>
      <c r="K111" t="inlineStr">
        <is>
          <t>2026-04-30</t>
        </is>
      </c>
      <c r="L111" t="inlineStr">
        <is>
          <t>0001104659-26-052948</t>
        </is>
      </c>
      <c r="M111" t="inlineStr">
        <is>
          <t>CY2024Q4I</t>
        </is>
      </c>
    </row>
    <row r="112">
      <c r="A112" t="inlineStr">
        <is>
          <t>deferred_revenue</t>
        </is>
      </c>
      <c r="B112" t="inlineStr">
        <is>
          <t>ContractWithCustomerLiability</t>
        </is>
      </c>
      <c r="C112" t="inlineStr">
        <is>
          <t>us-gaap</t>
        </is>
      </c>
      <c r="D112" t="inlineStr">
        <is>
          <t>USD</t>
        </is>
      </c>
      <c r="F112" t="inlineStr">
        <is>
          <t>2025-12-31</t>
        </is>
      </c>
      <c r="G112" t="n">
        <v>1577500000</v>
      </c>
      <c r="H112" t="n">
        <v>2025</v>
      </c>
      <c r="I112" t="inlineStr">
        <is>
          <t>FY</t>
        </is>
      </c>
      <c r="J112" t="inlineStr">
        <is>
          <t>20-F</t>
        </is>
      </c>
      <c r="K112" t="inlineStr">
        <is>
          <t>2026-04-30</t>
        </is>
      </c>
      <c r="L112" t="inlineStr">
        <is>
          <t>0001104659-26-052948</t>
        </is>
      </c>
      <c r="M112" t="inlineStr">
        <is>
          <t>CY2025Q4I</t>
        </is>
      </c>
    </row>
    <row r="113">
      <c r="A113" t="inlineStr">
        <is>
          <t>deferred_revenue_recognised</t>
        </is>
      </c>
      <c r="B113" t="inlineStr">
        <is>
          <t>ContractWithCustomerLiabilityRevenueRecognized</t>
        </is>
      </c>
      <c r="C113" t="inlineStr">
        <is>
          <t>us-gaap</t>
        </is>
      </c>
      <c r="D113" t="inlineStr">
        <is>
          <t>USD</t>
        </is>
      </c>
      <c r="E113" t="inlineStr">
        <is>
          <t>2024-01-01</t>
        </is>
      </c>
      <c r="F113" t="inlineStr">
        <is>
          <t>2024-12-31</t>
        </is>
      </c>
      <c r="G113" t="n">
        <v>6900000</v>
      </c>
      <c r="H113" t="n">
        <v>2025</v>
      </c>
      <c r="I113" t="inlineStr">
        <is>
          <t>FY</t>
        </is>
      </c>
      <c r="J113" t="inlineStr">
        <is>
          <t>20-F</t>
        </is>
      </c>
      <c r="K113" t="inlineStr">
        <is>
          <t>2026-04-30</t>
        </is>
      </c>
      <c r="L113" t="inlineStr">
        <is>
          <t>0001104659-26-052948</t>
        </is>
      </c>
      <c r="M113" t="inlineStr">
        <is>
          <t>CY2024</t>
        </is>
      </c>
    </row>
    <row r="114">
      <c r="A114" t="inlineStr">
        <is>
          <t>deferred_revenue_recognised</t>
        </is>
      </c>
      <c r="B114" t="inlineStr">
        <is>
          <t>ContractWithCustomerLiabilityRevenueRecognized</t>
        </is>
      </c>
      <c r="C114" t="inlineStr">
        <is>
          <t>us-gaap</t>
        </is>
      </c>
      <c r="D114" t="inlineStr">
        <is>
          <t>USD</t>
        </is>
      </c>
      <c r="E114" t="inlineStr">
        <is>
          <t>2025-01-01</t>
        </is>
      </c>
      <c r="F114" t="inlineStr">
        <is>
          <t>2025-12-31</t>
        </is>
      </c>
      <c r="G114" t="n">
        <v>16300000</v>
      </c>
      <c r="H114" t="n">
        <v>2025</v>
      </c>
      <c r="I114" t="inlineStr">
        <is>
          <t>FY</t>
        </is>
      </c>
      <c r="J114" t="inlineStr">
        <is>
          <t>20-F</t>
        </is>
      </c>
      <c r="K114" t="inlineStr">
        <is>
          <t>2026-04-30</t>
        </is>
      </c>
      <c r="L114" t="inlineStr">
        <is>
          <t>0001104659-26-052948</t>
        </is>
      </c>
      <c r="M114" t="inlineStr">
        <is>
          <t>CY2025</t>
        </is>
      </c>
    </row>
    <row r="115">
      <c r="A115" t="inlineStr">
        <is>
          <t>interest_expense</t>
        </is>
      </c>
      <c r="B115" t="inlineStr">
        <is>
          <t>InterestExpenseNonoperating</t>
        </is>
      </c>
      <c r="C115" t="inlineStr">
        <is>
          <t>us-gaap</t>
        </is>
      </c>
      <c r="D115" t="inlineStr">
        <is>
          <t>USD</t>
        </is>
      </c>
      <c r="E115" t="inlineStr">
        <is>
          <t>2023-01-01</t>
        </is>
      </c>
      <c r="F115" t="inlineStr">
        <is>
          <t>2023-12-31</t>
        </is>
      </c>
      <c r="G115" t="n">
        <v>0</v>
      </c>
      <c r="H115" t="n">
        <v>2025</v>
      </c>
      <c r="I115" t="inlineStr">
        <is>
          <t>FY</t>
        </is>
      </c>
      <c r="J115" t="inlineStr">
        <is>
          <t>20-F</t>
        </is>
      </c>
      <c r="K115" t="inlineStr">
        <is>
          <t>2026-04-30</t>
        </is>
      </c>
      <c r="L115" t="inlineStr">
        <is>
          <t>0001104659-26-052948</t>
        </is>
      </c>
      <c r="M115" t="inlineStr">
        <is>
          <t>CY2023</t>
        </is>
      </c>
    </row>
    <row r="116">
      <c r="A116" t="inlineStr">
        <is>
          <t>interest_expense</t>
        </is>
      </c>
      <c r="B116" t="inlineStr">
        <is>
          <t>InterestExpenseNonoperating</t>
        </is>
      </c>
      <c r="C116" t="inlineStr">
        <is>
          <t>us-gaap</t>
        </is>
      </c>
      <c r="D116" t="inlineStr">
        <is>
          <t>USD</t>
        </is>
      </c>
      <c r="E116" t="inlineStr">
        <is>
          <t>2024-01-01</t>
        </is>
      </c>
      <c r="F116" t="inlineStr">
        <is>
          <t>2024-12-31</t>
        </is>
      </c>
      <c r="G116" t="n">
        <v>0</v>
      </c>
      <c r="H116" t="n">
        <v>2025</v>
      </c>
      <c r="I116" t="inlineStr">
        <is>
          <t>FY</t>
        </is>
      </c>
      <c r="J116" t="inlineStr">
        <is>
          <t>20-F</t>
        </is>
      </c>
      <c r="K116" t="inlineStr">
        <is>
          <t>2026-04-30</t>
        </is>
      </c>
      <c r="L116" t="inlineStr">
        <is>
          <t>0001104659-26-052948</t>
        </is>
      </c>
      <c r="M116" t="inlineStr">
        <is>
          <t>CY2024</t>
        </is>
      </c>
    </row>
    <row r="117">
      <c r="A117" t="inlineStr">
        <is>
          <t>interest_expense</t>
        </is>
      </c>
      <c r="B117" t="inlineStr">
        <is>
          <t>InterestExpenseNonoperating</t>
        </is>
      </c>
      <c r="C117" t="inlineStr">
        <is>
          <t>us-gaap</t>
        </is>
      </c>
      <c r="D117" t="inlineStr">
        <is>
          <t>USD</t>
        </is>
      </c>
      <c r="E117" t="inlineStr">
        <is>
          <t>2025-01-01</t>
        </is>
      </c>
      <c r="F117" t="inlineStr">
        <is>
          <t>2025-12-31</t>
        </is>
      </c>
      <c r="G117" t="n">
        <v>61500000</v>
      </c>
      <c r="H117" t="n">
        <v>2025</v>
      </c>
      <c r="I117" t="inlineStr">
        <is>
          <t>FY</t>
        </is>
      </c>
      <c r="J117" t="inlineStr">
        <is>
          <t>20-F</t>
        </is>
      </c>
      <c r="K117" t="inlineStr">
        <is>
          <t>2026-04-30</t>
        </is>
      </c>
      <c r="L117" t="inlineStr">
        <is>
          <t>0001104659-26-052948</t>
        </is>
      </c>
      <c r="M117" t="inlineStr">
        <is>
          <t>CY2025</t>
        </is>
      </c>
    </row>
    <row r="118">
      <c r="A118" t="inlineStr">
        <is>
          <t>interest_expense_debt</t>
        </is>
      </c>
      <c r="B118" t="inlineStr">
        <is>
          <t>InterestExpenseDebtExcludingAmortization</t>
        </is>
      </c>
      <c r="C118" t="inlineStr">
        <is>
          <t>us-gaap</t>
        </is>
      </c>
      <c r="D118" t="inlineStr">
        <is>
          <t>USD</t>
        </is>
      </c>
      <c r="E118" t="inlineStr">
        <is>
          <t>2025-01-01</t>
        </is>
      </c>
      <c r="F118" t="inlineStr">
        <is>
          <t>2025-12-31</t>
        </is>
      </c>
      <c r="G118" t="n">
        <v>31400000</v>
      </c>
      <c r="H118" t="n">
        <v>2025</v>
      </c>
      <c r="I118" t="inlineStr">
        <is>
          <t>FY</t>
        </is>
      </c>
      <c r="J118" t="inlineStr">
        <is>
          <t>20-F</t>
        </is>
      </c>
      <c r="K118" t="inlineStr">
        <is>
          <t>2026-04-30</t>
        </is>
      </c>
      <c r="L118" t="inlineStr">
        <is>
          <t>0001104659-26-052948</t>
        </is>
      </c>
      <c r="M118" t="inlineStr">
        <is>
          <t>CY2025</t>
        </is>
      </c>
    </row>
    <row r="119">
      <c r="A119" t="inlineStr">
        <is>
          <t>long_term_debt</t>
        </is>
      </c>
      <c r="B119" t="inlineStr">
        <is>
          <t>LongTermDebt</t>
        </is>
      </c>
      <c r="C119" t="inlineStr">
        <is>
          <t>us-gaap</t>
        </is>
      </c>
      <c r="D119" t="inlineStr">
        <is>
          <t>USD</t>
        </is>
      </c>
      <c r="F119" t="inlineStr">
        <is>
          <t>2022-12-31</t>
        </is>
      </c>
      <c r="G119" t="n">
        <v>727800000</v>
      </c>
      <c r="H119" t="n">
        <v>2022</v>
      </c>
      <c r="I119" t="inlineStr">
        <is>
          <t>FY</t>
        </is>
      </c>
      <c r="J119" t="inlineStr">
        <is>
          <t>20-F</t>
        </is>
      </c>
      <c r="K119" t="inlineStr">
        <is>
          <t>2023-04-20</t>
        </is>
      </c>
      <c r="L119" t="inlineStr">
        <is>
          <t>0001558370-23-006319</t>
        </is>
      </c>
      <c r="M119" t="inlineStr">
        <is>
          <t>CY2022Q4I</t>
        </is>
      </c>
    </row>
    <row r="120">
      <c r="A120" t="inlineStr">
        <is>
          <t>long_term_debt</t>
        </is>
      </c>
      <c r="B120" t="inlineStr">
        <is>
          <t>LongTermDebt</t>
        </is>
      </c>
      <c r="C120" t="inlineStr">
        <is>
          <t>us-gaap</t>
        </is>
      </c>
      <c r="D120" t="inlineStr">
        <is>
          <t>USD</t>
        </is>
      </c>
      <c r="F120" t="inlineStr">
        <is>
          <t>2023-12-31</t>
        </is>
      </c>
      <c r="G120" t="n">
        <v>1577500000</v>
      </c>
      <c r="H120" t="n">
        <v>2023</v>
      </c>
      <c r="I120" t="inlineStr">
        <is>
          <t>FY</t>
        </is>
      </c>
      <c r="J120" t="inlineStr">
        <is>
          <t>20-F</t>
        </is>
      </c>
      <c r="K120" t="inlineStr">
        <is>
          <t>2024-04-26</t>
        </is>
      </c>
      <c r="L120" t="inlineStr">
        <is>
          <t>0001558370-24-005891</t>
        </is>
      </c>
      <c r="M120" t="inlineStr">
        <is>
          <t>CY2023Q4I</t>
        </is>
      </c>
    </row>
    <row r="121">
      <c r="A121" t="inlineStr">
        <is>
          <t>long_term_debt</t>
        </is>
      </c>
      <c r="B121" t="inlineStr">
        <is>
          <t>LongTermDebt</t>
        </is>
      </c>
      <c r="C121" t="inlineStr">
        <is>
          <t>us-gaap</t>
        </is>
      </c>
      <c r="D121" t="inlineStr">
        <is>
          <t>USD</t>
        </is>
      </c>
      <c r="F121" t="inlineStr">
        <is>
          <t>2025-12-31</t>
        </is>
      </c>
      <c r="G121" t="n">
        <v>4103200000</v>
      </c>
      <c r="H121" t="n">
        <v>2025</v>
      </c>
      <c r="I121" t="inlineStr">
        <is>
          <t>FY</t>
        </is>
      </c>
      <c r="J121" t="inlineStr">
        <is>
          <t>20-F</t>
        </is>
      </c>
      <c r="K121" t="inlineStr">
        <is>
          <t>2026-04-30</t>
        </is>
      </c>
      <c r="L121" t="inlineStr">
        <is>
          <t>0001104659-26-052948</t>
        </is>
      </c>
      <c r="M121" t="inlineStr">
        <is>
          <t>CY2025Q4I</t>
        </is>
      </c>
    </row>
    <row r="122">
      <c r="A122" t="inlineStr">
        <is>
          <t>net_income</t>
        </is>
      </c>
      <c r="B122" t="inlineStr">
        <is>
          <t>NetIncomeLoss</t>
        </is>
      </c>
      <c r="C122" t="inlineStr">
        <is>
          <t>us-gaap</t>
        </is>
      </c>
      <c r="D122" t="inlineStr">
        <is>
          <t>USD</t>
        </is>
      </c>
      <c r="E122" t="inlineStr">
        <is>
          <t>2011-01-01</t>
        </is>
      </c>
      <c r="F122" t="inlineStr">
        <is>
          <t>2011-12-31</t>
        </is>
      </c>
      <c r="G122" t="n">
        <v>179300000</v>
      </c>
      <c r="H122" t="n">
        <v>2011</v>
      </c>
      <c r="I122" t="inlineStr">
        <is>
          <t>FY</t>
        </is>
      </c>
      <c r="J122" t="inlineStr">
        <is>
          <t>20-F</t>
        </is>
      </c>
      <c r="K122" t="inlineStr">
        <is>
          <t>2012-03-02</t>
        </is>
      </c>
      <c r="L122" t="inlineStr">
        <is>
          <t>0001047469-12-002052</t>
        </is>
      </c>
      <c r="M122" t="inlineStr">
        <is>
          <t>CY2011</t>
        </is>
      </c>
    </row>
    <row r="123">
      <c r="A123" t="inlineStr">
        <is>
          <t>net_income</t>
        </is>
      </c>
      <c r="B123" t="inlineStr">
        <is>
          <t>NetIncomeLoss</t>
        </is>
      </c>
      <c r="C123" t="inlineStr">
        <is>
          <t>us-gaap</t>
        </is>
      </c>
      <c r="D123" t="inlineStr">
        <is>
          <t>USD</t>
        </is>
      </c>
      <c r="E123" t="inlineStr">
        <is>
          <t>2021-01-01</t>
        </is>
      </c>
      <c r="F123" t="inlineStr">
        <is>
          <t>2021-12-31</t>
        </is>
      </c>
      <c r="G123" t="n">
        <v>-197200000</v>
      </c>
      <c r="H123" t="n">
        <v>2021</v>
      </c>
      <c r="I123" t="inlineStr">
        <is>
          <t>FY</t>
        </is>
      </c>
      <c r="J123" t="inlineStr">
        <is>
          <t>20-F</t>
        </is>
      </c>
      <c r="K123" t="inlineStr">
        <is>
          <t>2022-04-20</t>
        </is>
      </c>
      <c r="L123" t="inlineStr">
        <is>
          <t>0001558370-22-005654</t>
        </is>
      </c>
      <c r="M123" t="inlineStr">
        <is>
          <t>CY2021</t>
        </is>
      </c>
    </row>
    <row r="124">
      <c r="A124" t="inlineStr">
        <is>
          <t>net_income</t>
        </is>
      </c>
      <c r="B124" t="inlineStr">
        <is>
          <t>NetIncomeLoss</t>
        </is>
      </c>
      <c r="C124" t="inlineStr">
        <is>
          <t>us-gaap</t>
        </is>
      </c>
      <c r="D124" t="inlineStr">
        <is>
          <t>USD</t>
        </is>
      </c>
      <c r="E124" t="inlineStr">
        <is>
          <t>2022-01-01</t>
        </is>
      </c>
      <c r="F124" t="inlineStr">
        <is>
          <t>2022-12-31</t>
        </is>
      </c>
      <c r="G124" t="n">
        <v>561100000</v>
      </c>
      <c r="H124" t="n">
        <v>2022</v>
      </c>
      <c r="I124" t="inlineStr">
        <is>
          <t>FY</t>
        </is>
      </c>
      <c r="J124" t="inlineStr">
        <is>
          <t>20-F</t>
        </is>
      </c>
      <c r="K124" t="inlineStr">
        <is>
          <t>2023-04-20</t>
        </is>
      </c>
      <c r="L124" t="inlineStr">
        <is>
          <t>0001558370-23-006319</t>
        </is>
      </c>
    </row>
    <row r="125">
      <c r="A125" t="inlineStr">
        <is>
          <t>net_income</t>
        </is>
      </c>
      <c r="B125" t="inlineStr">
        <is>
          <t>NetIncomeLoss</t>
        </is>
      </c>
      <c r="C125" t="inlineStr">
        <is>
          <t>us-gaap</t>
        </is>
      </c>
      <c r="D125" t="inlineStr">
        <is>
          <t>USD</t>
        </is>
      </c>
      <c r="E125" t="inlineStr">
        <is>
          <t>2022-01-01</t>
        </is>
      </c>
      <c r="F125" t="inlineStr">
        <is>
          <t>2022-12-31</t>
        </is>
      </c>
      <c r="G125" t="n">
        <v>745600000</v>
      </c>
      <c r="H125" t="n">
        <v>2024</v>
      </c>
      <c r="I125" t="inlineStr">
        <is>
          <t>FY</t>
        </is>
      </c>
      <c r="J125" t="inlineStr">
        <is>
          <t>20-F</t>
        </is>
      </c>
      <c r="K125" t="inlineStr">
        <is>
          <t>2025-04-30</t>
        </is>
      </c>
      <c r="L125" t="inlineStr">
        <is>
          <t>0001558370-25-005991</t>
        </is>
      </c>
      <c r="M125" t="inlineStr">
        <is>
          <t>CY2022</t>
        </is>
      </c>
    </row>
    <row r="126">
      <c r="A126" t="inlineStr">
        <is>
          <t>net_income</t>
        </is>
      </c>
      <c r="B126" t="inlineStr">
        <is>
          <t>NetIncomeLoss</t>
        </is>
      </c>
      <c r="C126" t="inlineStr">
        <is>
          <t>us-gaap</t>
        </is>
      </c>
      <c r="D126" t="inlineStr">
        <is>
          <t>USD</t>
        </is>
      </c>
      <c r="E126" t="inlineStr">
        <is>
          <t>2023-01-01</t>
        </is>
      </c>
      <c r="F126" t="inlineStr">
        <is>
          <t>2023-12-31</t>
        </is>
      </c>
      <c r="G126" t="n">
        <v>221500000</v>
      </c>
      <c r="H126" t="n">
        <v>2023</v>
      </c>
      <c r="I126" t="inlineStr">
        <is>
          <t>FY</t>
        </is>
      </c>
      <c r="J126" t="inlineStr">
        <is>
          <t>20-F</t>
        </is>
      </c>
      <c r="K126" t="inlineStr">
        <is>
          <t>2024-04-26</t>
        </is>
      </c>
      <c r="L126" t="inlineStr">
        <is>
          <t>0001558370-24-005891</t>
        </is>
      </c>
    </row>
    <row r="127">
      <c r="A127" t="inlineStr">
        <is>
          <t>net_income</t>
        </is>
      </c>
      <c r="B127" t="inlineStr">
        <is>
          <t>NetIncomeLoss</t>
        </is>
      </c>
      <c r="C127" t="inlineStr">
        <is>
          <t>us-gaap</t>
        </is>
      </c>
      <c r="D127" t="inlineStr">
        <is>
          <t>USD</t>
        </is>
      </c>
      <c r="E127" t="inlineStr">
        <is>
          <t>2023-01-01</t>
        </is>
      </c>
      <c r="F127" t="inlineStr">
        <is>
          <t>2023-12-31</t>
        </is>
      </c>
      <c r="G127" t="n">
        <v>241300000</v>
      </c>
      <c r="H127" t="n">
        <v>2024</v>
      </c>
      <c r="I127" t="inlineStr">
        <is>
          <t>FY</t>
        </is>
      </c>
      <c r="J127" t="inlineStr">
        <is>
          <t>20-F</t>
        </is>
      </c>
      <c r="K127" t="inlineStr">
        <is>
          <t>2025-04-30</t>
        </is>
      </c>
      <c r="L127" t="inlineStr">
        <is>
          <t>0001558370-25-005991</t>
        </is>
      </c>
    </row>
    <row r="128">
      <c r="A128" t="inlineStr">
        <is>
          <t>net_income</t>
        </is>
      </c>
      <c r="B128" t="inlineStr">
        <is>
          <t>NetIncomeLoss</t>
        </is>
      </c>
      <c r="C128" t="inlineStr">
        <is>
          <t>us-gaap</t>
        </is>
      </c>
      <c r="D128" t="inlineStr">
        <is>
          <t>USD</t>
        </is>
      </c>
      <c r="E128" t="inlineStr">
        <is>
          <t>2023-01-01</t>
        </is>
      </c>
      <c r="F128" t="inlineStr">
        <is>
          <t>2023-12-31</t>
        </is>
      </c>
      <c r="G128" t="n">
        <v>241300000</v>
      </c>
      <c r="H128" t="n">
        <v>2025</v>
      </c>
      <c r="I128" t="inlineStr">
        <is>
          <t>FY</t>
        </is>
      </c>
      <c r="J128" t="inlineStr">
        <is>
          <t>20-F</t>
        </is>
      </c>
      <c r="K128" t="inlineStr">
        <is>
          <t>2026-04-30</t>
        </is>
      </c>
      <c r="L128" t="inlineStr">
        <is>
          <t>0001104659-26-052948</t>
        </is>
      </c>
      <c r="M128" t="inlineStr">
        <is>
          <t>CY2023</t>
        </is>
      </c>
    </row>
    <row r="129">
      <c r="A129" t="inlineStr">
        <is>
          <t>net_income</t>
        </is>
      </c>
      <c r="B129" t="inlineStr">
        <is>
          <t>NetIncomeLoss</t>
        </is>
      </c>
      <c r="C129" t="inlineStr">
        <is>
          <t>us-gaap</t>
        </is>
      </c>
      <c r="D129" t="inlineStr">
        <is>
          <t>USD</t>
        </is>
      </c>
      <c r="E129" t="inlineStr">
        <is>
          <t>2024-01-01</t>
        </is>
      </c>
      <c r="F129" t="inlineStr">
        <is>
          <t>2024-12-31</t>
        </is>
      </c>
      <c r="G129" t="n">
        <v>-641400000</v>
      </c>
      <c r="H129" t="n">
        <v>2024</v>
      </c>
      <c r="I129" t="inlineStr">
        <is>
          <t>FY</t>
        </is>
      </c>
      <c r="J129" t="inlineStr">
        <is>
          <t>20-F</t>
        </is>
      </c>
      <c r="K129" t="inlineStr">
        <is>
          <t>2025-04-30</t>
        </is>
      </c>
      <c r="L129" t="inlineStr">
        <is>
          <t>0001558370-25-005991</t>
        </is>
      </c>
    </row>
    <row r="130">
      <c r="A130" t="inlineStr">
        <is>
          <t>net_income</t>
        </is>
      </c>
      <c r="B130" t="inlineStr">
        <is>
          <t>NetIncomeLoss</t>
        </is>
      </c>
      <c r="C130" t="inlineStr">
        <is>
          <t>us-gaap</t>
        </is>
      </c>
      <c r="D130" t="inlineStr">
        <is>
          <t>USD</t>
        </is>
      </c>
      <c r="E130" t="inlineStr">
        <is>
          <t>2024-01-01</t>
        </is>
      </c>
      <c r="F130" t="inlineStr">
        <is>
          <t>2024-12-31</t>
        </is>
      </c>
      <c r="G130" t="n">
        <v>-641400000</v>
      </c>
      <c r="H130" t="n">
        <v>2025</v>
      </c>
      <c r="I130" t="inlineStr">
        <is>
          <t>FY</t>
        </is>
      </c>
      <c r="J130" t="inlineStr">
        <is>
          <t>20-F</t>
        </is>
      </c>
      <c r="K130" t="inlineStr">
        <is>
          <t>2026-04-30</t>
        </is>
      </c>
      <c r="L130" t="inlineStr">
        <is>
          <t>0001104659-26-052948</t>
        </is>
      </c>
      <c r="M130" t="inlineStr">
        <is>
          <t>CY2024</t>
        </is>
      </c>
    </row>
    <row r="131">
      <c r="A131" t="inlineStr">
        <is>
          <t>net_income</t>
        </is>
      </c>
      <c r="B131" t="inlineStr">
        <is>
          <t>NetIncomeLoss</t>
        </is>
      </c>
      <c r="C131" t="inlineStr">
        <is>
          <t>us-gaap</t>
        </is>
      </c>
      <c r="D131" t="inlineStr">
        <is>
          <t>USD</t>
        </is>
      </c>
      <c r="E131" t="inlineStr">
        <is>
          <t>2025-01-01</t>
        </is>
      </c>
      <c r="F131" t="inlineStr">
        <is>
          <t>2025-12-31</t>
        </is>
      </c>
      <c r="G131" t="n">
        <v>82500000</v>
      </c>
      <c r="H131" t="n">
        <v>2025</v>
      </c>
      <c r="I131" t="inlineStr">
        <is>
          <t>FY</t>
        </is>
      </c>
      <c r="J131" t="inlineStr">
        <is>
          <t>20-F</t>
        </is>
      </c>
      <c r="K131" t="inlineStr">
        <is>
          <t>2026-04-30</t>
        </is>
      </c>
      <c r="L131" t="inlineStr">
        <is>
          <t>0001104659-26-052948</t>
        </is>
      </c>
      <c r="M131" t="inlineStr">
        <is>
          <t>CY2025</t>
        </is>
      </c>
    </row>
    <row r="132">
      <c r="A132" t="inlineStr">
        <is>
          <t>operating_income</t>
        </is>
      </c>
      <c r="B132" t="inlineStr">
        <is>
          <t>OperatingIncomeLoss</t>
        </is>
      </c>
      <c r="C132" t="inlineStr">
        <is>
          <t>us-gaap</t>
        </is>
      </c>
      <c r="D132" t="inlineStr">
        <is>
          <t>USD</t>
        </is>
      </c>
      <c r="E132" t="inlineStr">
        <is>
          <t>2011-01-01</t>
        </is>
      </c>
      <c r="F132" t="inlineStr">
        <is>
          <t>2011-12-31</t>
        </is>
      </c>
      <c r="G132" t="n">
        <v>218500000</v>
      </c>
      <c r="H132" t="n">
        <v>2011</v>
      </c>
      <c r="I132" t="inlineStr">
        <is>
          <t>FY</t>
        </is>
      </c>
      <c r="J132" t="inlineStr">
        <is>
          <t>20-F</t>
        </is>
      </c>
      <c r="K132" t="inlineStr">
        <is>
          <t>2012-03-02</t>
        </is>
      </c>
      <c r="L132" t="inlineStr">
        <is>
          <t>0001047469-12-002052</t>
        </is>
      </c>
      <c r="M132" t="inlineStr">
        <is>
          <t>CY2011</t>
        </is>
      </c>
    </row>
    <row r="133">
      <c r="A133" t="inlineStr">
        <is>
          <t>operating_income</t>
        </is>
      </c>
      <c r="B133" t="inlineStr">
        <is>
          <t>OperatingIncomeLoss</t>
        </is>
      </c>
      <c r="C133" t="inlineStr">
        <is>
          <t>us-gaap</t>
        </is>
      </c>
      <c r="D133" t="inlineStr">
        <is>
          <t>USD</t>
        </is>
      </c>
      <c r="E133" t="inlineStr">
        <is>
          <t>2012-01-01</t>
        </is>
      </c>
      <c r="F133" t="inlineStr">
        <is>
          <t>2012-12-31</t>
        </is>
      </c>
      <c r="G133" t="n">
        <v>311200000</v>
      </c>
      <c r="H133" t="n">
        <v>2012</v>
      </c>
      <c r="I133" t="inlineStr">
        <is>
          <t>FY</t>
        </is>
      </c>
      <c r="J133" t="inlineStr">
        <is>
          <t>20-F</t>
        </is>
      </c>
      <c r="K133" t="inlineStr">
        <is>
          <t>2013-04-09</t>
        </is>
      </c>
      <c r="L133" t="inlineStr">
        <is>
          <t>0001047469-13-004131</t>
        </is>
      </c>
      <c r="M133" t="inlineStr">
        <is>
          <t>CY2012</t>
        </is>
      </c>
    </row>
    <row r="134">
      <c r="A134" t="inlineStr">
        <is>
          <t>operating_income</t>
        </is>
      </c>
      <c r="B134" t="inlineStr">
        <is>
          <t>OperatingIncomeLoss</t>
        </is>
      </c>
      <c r="C134" t="inlineStr">
        <is>
          <t>us-gaap</t>
        </is>
      </c>
      <c r="D134" t="inlineStr">
        <is>
          <t>USD</t>
        </is>
      </c>
      <c r="E134" t="inlineStr">
        <is>
          <t>2013-01-01</t>
        </is>
      </c>
      <c r="F134" t="inlineStr">
        <is>
          <t>2013-12-31</t>
        </is>
      </c>
      <c r="G134" t="n">
        <v>392200000</v>
      </c>
      <c r="H134" t="n">
        <v>2013</v>
      </c>
      <c r="I134" t="inlineStr">
        <is>
          <t>FY</t>
        </is>
      </c>
      <c r="J134" t="inlineStr">
        <is>
          <t>20-F</t>
        </is>
      </c>
      <c r="K134" t="inlineStr">
        <is>
          <t>2014-04-04</t>
        </is>
      </c>
      <c r="L134" t="inlineStr">
        <is>
          <t>0001047469-14-003438</t>
        </is>
      </c>
      <c r="M134" t="inlineStr">
        <is>
          <t>CY2013</t>
        </is>
      </c>
    </row>
    <row r="135">
      <c r="A135" t="inlineStr">
        <is>
          <t>operating_income</t>
        </is>
      </c>
      <c r="B135" t="inlineStr">
        <is>
          <t>OperatingIncomeLoss</t>
        </is>
      </c>
      <c r="C135" t="inlineStr">
        <is>
          <t>us-gaap</t>
        </is>
      </c>
      <c r="D135" t="inlineStr">
        <is>
          <t>USD</t>
        </is>
      </c>
      <c r="E135" t="inlineStr">
        <is>
          <t>2014-01-01</t>
        </is>
      </c>
      <c r="F135" t="inlineStr">
        <is>
          <t>2014-12-31</t>
        </is>
      </c>
      <c r="G135" t="n">
        <v>272400000</v>
      </c>
      <c r="H135" t="n">
        <v>2014</v>
      </c>
      <c r="I135" t="inlineStr">
        <is>
          <t>FY</t>
        </is>
      </c>
      <c r="J135" t="inlineStr">
        <is>
          <t>20-F</t>
        </is>
      </c>
      <c r="K135" t="inlineStr">
        <is>
          <t>2015-04-30</t>
        </is>
      </c>
      <c r="L135" t="inlineStr">
        <is>
          <t>0001047469-15-004230</t>
        </is>
      </c>
      <c r="M135" t="inlineStr">
        <is>
          <t>CY2014</t>
        </is>
      </c>
    </row>
    <row r="136">
      <c r="A136" t="inlineStr">
        <is>
          <t>operating_income</t>
        </is>
      </c>
      <c r="B136" t="inlineStr">
        <is>
          <t>OperatingIncomeLoss</t>
        </is>
      </c>
      <c r="C136" t="inlineStr">
        <is>
          <t>us-gaap</t>
        </is>
      </c>
      <c r="D136" t="inlineStr">
        <is>
          <t>USD</t>
        </is>
      </c>
      <c r="E136" t="inlineStr">
        <is>
          <t>2015-01-01</t>
        </is>
      </c>
      <c r="F136" t="inlineStr">
        <is>
          <t>2015-12-31</t>
        </is>
      </c>
      <c r="G136" t="n">
        <v>131600000</v>
      </c>
      <c r="H136" t="n">
        <v>2015</v>
      </c>
      <c r="I136" t="inlineStr">
        <is>
          <t>FY</t>
        </is>
      </c>
      <c r="J136" t="inlineStr">
        <is>
          <t>20-F</t>
        </is>
      </c>
      <c r="K136" t="inlineStr">
        <is>
          <t>2016-03-22</t>
        </is>
      </c>
      <c r="L136" t="inlineStr">
        <is>
          <t>0001047469-16-011404</t>
        </is>
      </c>
      <c r="M136" t="inlineStr">
        <is>
          <t>CY2015</t>
        </is>
      </c>
    </row>
    <row r="137">
      <c r="A137" t="inlineStr">
        <is>
          <t>operating_income</t>
        </is>
      </c>
      <c r="B137" t="inlineStr">
        <is>
          <t>OperatingIncomeLoss</t>
        </is>
      </c>
      <c r="C137" t="inlineStr">
        <is>
          <t>us-gaap</t>
        </is>
      </c>
      <c r="D137" t="inlineStr">
        <is>
          <t>USD</t>
        </is>
      </c>
      <c r="E137" t="inlineStr">
        <is>
          <t>2016-01-01</t>
        </is>
      </c>
      <c r="F137" t="inlineStr">
        <is>
          <t>2016-12-31</t>
        </is>
      </c>
      <c r="G137" t="n">
        <v>211800000</v>
      </c>
      <c r="H137" t="n">
        <v>2016</v>
      </c>
      <c r="I137" t="inlineStr">
        <is>
          <t>FY</t>
        </is>
      </c>
      <c r="J137" t="inlineStr">
        <is>
          <t>20-F</t>
        </is>
      </c>
      <c r="K137" t="inlineStr">
        <is>
          <t>2017-03-22</t>
        </is>
      </c>
      <c r="L137" t="inlineStr">
        <is>
          <t>0001513845-17-000004</t>
        </is>
      </c>
      <c r="M137" t="inlineStr">
        <is>
          <t>CY2016</t>
        </is>
      </c>
    </row>
    <row r="138">
      <c r="A138" t="inlineStr">
        <is>
          <t>operating_income</t>
        </is>
      </c>
      <c r="B138" t="inlineStr">
        <is>
          <t>OperatingIncomeLoss</t>
        </is>
      </c>
      <c r="C138" t="inlineStr">
        <is>
          <t>us-gaap</t>
        </is>
      </c>
      <c r="D138" t="inlineStr">
        <is>
          <t>USD</t>
        </is>
      </c>
      <c r="E138" t="inlineStr">
        <is>
          <t>2017-01-01</t>
        </is>
      </c>
      <c r="F138" t="inlineStr">
        <is>
          <t>2017-12-31</t>
        </is>
      </c>
      <c r="G138" t="n">
        <v>226300000</v>
      </c>
      <c r="H138" t="n">
        <v>2017</v>
      </c>
      <c r="I138" t="inlineStr">
        <is>
          <t>FY</t>
        </is>
      </c>
      <c r="J138" t="inlineStr">
        <is>
          <t>20-F</t>
        </is>
      </c>
      <c r="K138" t="inlineStr">
        <is>
          <t>2018-03-27</t>
        </is>
      </c>
      <c r="L138" t="inlineStr">
        <is>
          <t>0001513845-18-000013</t>
        </is>
      </c>
      <c r="M138" t="inlineStr">
        <is>
          <t>CY2017</t>
        </is>
      </c>
    </row>
    <row r="139">
      <c r="A139" t="inlineStr">
        <is>
          <t>operating_income</t>
        </is>
      </c>
      <c r="B139" t="inlineStr">
        <is>
          <t>OperatingIncomeLoss</t>
        </is>
      </c>
      <c r="C139" t="inlineStr">
        <is>
          <t>us-gaap</t>
        </is>
      </c>
      <c r="D139" t="inlineStr">
        <is>
          <t>USD</t>
        </is>
      </c>
      <c r="E139" t="inlineStr">
        <is>
          <t>2018-01-01</t>
        </is>
      </c>
      <c r="F139" t="inlineStr">
        <is>
          <t>2018-12-31</t>
        </is>
      </c>
      <c r="G139" t="n">
        <v>300300000</v>
      </c>
      <c r="H139" t="n">
        <v>2018</v>
      </c>
      <c r="I139" t="inlineStr">
        <is>
          <t>FY</t>
        </is>
      </c>
      <c r="J139" t="inlineStr">
        <is>
          <t>20-F</t>
        </is>
      </c>
      <c r="K139" t="inlineStr">
        <is>
          <t>2019-04-19</t>
        </is>
      </c>
      <c r="L139" t="inlineStr">
        <is>
          <t>0001513845-19-000009</t>
        </is>
      </c>
      <c r="M139" t="inlineStr">
        <is>
          <t>CY2018</t>
        </is>
      </c>
    </row>
    <row r="140">
      <c r="A140" t="inlineStr">
        <is>
          <t>operating_income</t>
        </is>
      </c>
      <c r="B140" t="inlineStr">
        <is>
          <t>OperatingIncomeLoss</t>
        </is>
      </c>
      <c r="C140" t="inlineStr">
        <is>
          <t>us-gaap</t>
        </is>
      </c>
      <c r="D140" t="inlineStr">
        <is>
          <t>USD</t>
        </is>
      </c>
      <c r="E140" t="inlineStr">
        <is>
          <t>2019-01-01</t>
        </is>
      </c>
      <c r="F140" t="inlineStr">
        <is>
          <t>2019-12-31</t>
        </is>
      </c>
      <c r="G140" t="n">
        <v>313300000</v>
      </c>
      <c r="H140" t="n">
        <v>2019</v>
      </c>
      <c r="I140" t="inlineStr">
        <is>
          <t>FY</t>
        </is>
      </c>
      <c r="J140" t="inlineStr">
        <is>
          <t>20-F/A</t>
        </is>
      </c>
      <c r="K140" t="inlineStr">
        <is>
          <t>2020-04-02</t>
        </is>
      </c>
      <c r="L140" t="inlineStr">
        <is>
          <t>0001558370-20-003563</t>
        </is>
      </c>
      <c r="M140" t="inlineStr">
        <is>
          <t>CY2019</t>
        </is>
      </c>
    </row>
    <row r="141">
      <c r="A141" t="inlineStr">
        <is>
          <t>operating_income</t>
        </is>
      </c>
      <c r="B141" t="inlineStr">
        <is>
          <t>OperatingIncomeLoss</t>
        </is>
      </c>
      <c r="C141" t="inlineStr">
        <is>
          <t>us-gaap</t>
        </is>
      </c>
      <c r="D141" t="inlineStr">
        <is>
          <t>USD</t>
        </is>
      </c>
      <c r="E141" t="inlineStr">
        <is>
          <t>2020-01-01</t>
        </is>
      </c>
      <c r="F141" t="inlineStr">
        <is>
          <t>2020-12-31</t>
        </is>
      </c>
      <c r="G141" t="n">
        <v>220000000</v>
      </c>
      <c r="H141" t="n">
        <v>2020</v>
      </c>
      <c r="I141" t="inlineStr">
        <is>
          <t>FY</t>
        </is>
      </c>
      <c r="J141" t="inlineStr">
        <is>
          <t>20-F</t>
        </is>
      </c>
      <c r="K141" t="inlineStr">
        <is>
          <t>2021-04-01</t>
        </is>
      </c>
      <c r="L141" t="inlineStr">
        <is>
          <t>0001513845-21-000014</t>
        </is>
      </c>
      <c r="M141" t="inlineStr">
        <is>
          <t>CY2020</t>
        </is>
      </c>
    </row>
    <row r="142">
      <c r="A142" t="inlineStr">
        <is>
          <t>operating_income</t>
        </is>
      </c>
      <c r="B142" t="inlineStr">
        <is>
          <t>OperatingIncomeLoss</t>
        </is>
      </c>
      <c r="C142" t="inlineStr">
        <is>
          <t>us-gaap</t>
        </is>
      </c>
      <c r="D142" t="inlineStr">
        <is>
          <t>USD</t>
        </is>
      </c>
      <c r="E142" t="inlineStr">
        <is>
          <t>2021-01-01</t>
        </is>
      </c>
      <c r="F142" t="inlineStr">
        <is>
          <t>2021-12-31</t>
        </is>
      </c>
      <c r="G142" t="n">
        <v>-178700000</v>
      </c>
      <c r="H142" t="n">
        <v>2021</v>
      </c>
      <c r="I142" t="inlineStr">
        <is>
          <t>FY</t>
        </is>
      </c>
      <c r="J142" t="inlineStr">
        <is>
          <t>20-F</t>
        </is>
      </c>
      <c r="K142" t="inlineStr">
        <is>
          <t>2022-04-20</t>
        </is>
      </c>
      <c r="L142" t="inlineStr">
        <is>
          <t>0001558370-22-005654</t>
        </is>
      </c>
      <c r="M142" t="inlineStr">
        <is>
          <t>CY2021</t>
        </is>
      </c>
    </row>
    <row r="143">
      <c r="A143" t="inlineStr">
        <is>
          <t>operating_income</t>
        </is>
      </c>
      <c r="B143" t="inlineStr">
        <is>
          <t>OperatingIncomeLoss</t>
        </is>
      </c>
      <c r="C143" t="inlineStr">
        <is>
          <t>us-gaap</t>
        </is>
      </c>
      <c r="D143" t="inlineStr">
        <is>
          <t>USD</t>
        </is>
      </c>
      <c r="E143" t="inlineStr">
        <is>
          <t>2022-01-01</t>
        </is>
      </c>
      <c r="F143" t="inlineStr">
        <is>
          <t>2022-12-31</t>
        </is>
      </c>
      <c r="G143" t="n">
        <v>188200000</v>
      </c>
      <c r="H143" t="n">
        <v>2022</v>
      </c>
      <c r="I143" t="inlineStr">
        <is>
          <t>FY</t>
        </is>
      </c>
      <c r="J143" t="inlineStr">
        <is>
          <t>20-F</t>
        </is>
      </c>
      <c r="K143" t="inlineStr">
        <is>
          <t>2023-04-20</t>
        </is>
      </c>
      <c r="L143" t="inlineStr">
        <is>
          <t>0001558370-23-006319</t>
        </is>
      </c>
    </row>
    <row r="144">
      <c r="A144" t="inlineStr">
        <is>
          <t>operating_income</t>
        </is>
      </c>
      <c r="B144" t="inlineStr">
        <is>
          <t>OperatingIncomeLoss</t>
        </is>
      </c>
      <c r="C144" t="inlineStr">
        <is>
          <t>us-gaap</t>
        </is>
      </c>
      <c r="D144" t="inlineStr">
        <is>
          <t>USD</t>
        </is>
      </c>
      <c r="E144" t="inlineStr">
        <is>
          <t>2022-01-01</t>
        </is>
      </c>
      <c r="F144" t="inlineStr">
        <is>
          <t>2022-12-31</t>
        </is>
      </c>
      <c r="G144" t="n">
        <v>-158000000</v>
      </c>
      <c r="H144" t="n">
        <v>2024</v>
      </c>
      <c r="I144" t="inlineStr">
        <is>
          <t>FY</t>
        </is>
      </c>
      <c r="J144" t="inlineStr">
        <is>
          <t>20-F</t>
        </is>
      </c>
      <c r="K144" t="inlineStr">
        <is>
          <t>2025-04-30</t>
        </is>
      </c>
      <c r="L144" t="inlineStr">
        <is>
          <t>0001558370-25-005991</t>
        </is>
      </c>
      <c r="M144" t="inlineStr">
        <is>
          <t>CY2022</t>
        </is>
      </c>
    </row>
    <row r="145">
      <c r="A145" t="inlineStr">
        <is>
          <t>operating_income</t>
        </is>
      </c>
      <c r="B145" t="inlineStr">
        <is>
          <t>OperatingIncomeLoss</t>
        </is>
      </c>
      <c r="C145" t="inlineStr">
        <is>
          <t>us-gaap</t>
        </is>
      </c>
      <c r="D145" t="inlineStr">
        <is>
          <t>USD</t>
        </is>
      </c>
      <c r="E145" t="inlineStr">
        <is>
          <t>2023-01-01</t>
        </is>
      </c>
      <c r="F145" t="inlineStr">
        <is>
          <t>2023-12-31</t>
        </is>
      </c>
      <c r="G145" t="n">
        <v>317400000</v>
      </c>
      <c r="H145" t="n">
        <v>2023</v>
      </c>
      <c r="I145" t="inlineStr">
        <is>
          <t>FY</t>
        </is>
      </c>
      <c r="J145" t="inlineStr">
        <is>
          <t>20-F</t>
        </is>
      </c>
      <c r="K145" t="inlineStr">
        <is>
          <t>2024-04-26</t>
        </is>
      </c>
      <c r="L145" t="inlineStr">
        <is>
          <t>0001558370-24-005891</t>
        </is>
      </c>
    </row>
    <row r="146">
      <c r="A146" t="inlineStr">
        <is>
          <t>operating_income</t>
        </is>
      </c>
      <c r="B146" t="inlineStr">
        <is>
          <t>OperatingIncomeLoss</t>
        </is>
      </c>
      <c r="C146" t="inlineStr">
        <is>
          <t>us-gaap</t>
        </is>
      </c>
      <c r="D146" t="inlineStr">
        <is>
          <t>USD</t>
        </is>
      </c>
      <c r="E146" t="inlineStr">
        <is>
          <t>2023-01-01</t>
        </is>
      </c>
      <c r="F146" t="inlineStr">
        <is>
          <t>2023-12-31</t>
        </is>
      </c>
      <c r="G146" t="n">
        <v>-327500000</v>
      </c>
      <c r="H146" t="n">
        <v>2024</v>
      </c>
      <c r="I146" t="inlineStr">
        <is>
          <t>FY</t>
        </is>
      </c>
      <c r="J146" t="inlineStr">
        <is>
          <t>20-F</t>
        </is>
      </c>
      <c r="K146" t="inlineStr">
        <is>
          <t>2025-04-30</t>
        </is>
      </c>
      <c r="L146" t="inlineStr">
        <is>
          <t>0001558370-25-005991</t>
        </is>
      </c>
    </row>
    <row r="147">
      <c r="A147" t="inlineStr">
        <is>
          <t>operating_income</t>
        </is>
      </c>
      <c r="B147" t="inlineStr">
        <is>
          <t>OperatingIncomeLoss</t>
        </is>
      </c>
      <c r="C147" t="inlineStr">
        <is>
          <t>us-gaap</t>
        </is>
      </c>
      <c r="D147" t="inlineStr">
        <is>
          <t>USD</t>
        </is>
      </c>
      <c r="E147" t="inlineStr">
        <is>
          <t>2023-01-01</t>
        </is>
      </c>
      <c r="F147" t="inlineStr">
        <is>
          <t>2023-12-31</t>
        </is>
      </c>
      <c r="G147" t="n">
        <v>-285700000</v>
      </c>
      <c r="H147" t="n">
        <v>2025</v>
      </c>
      <c r="I147" t="inlineStr">
        <is>
          <t>FY</t>
        </is>
      </c>
      <c r="J147" t="inlineStr">
        <is>
          <t>20-F</t>
        </is>
      </c>
      <c r="K147" t="inlineStr">
        <is>
          <t>2026-04-30</t>
        </is>
      </c>
      <c r="L147" t="inlineStr">
        <is>
          <t>0001104659-26-052948</t>
        </is>
      </c>
      <c r="M147" t="inlineStr">
        <is>
          <t>CY2023</t>
        </is>
      </c>
    </row>
    <row r="148">
      <c r="A148" t="inlineStr">
        <is>
          <t>operating_income</t>
        </is>
      </c>
      <c r="B148" t="inlineStr">
        <is>
          <t>OperatingIncomeLoss</t>
        </is>
      </c>
      <c r="C148" t="inlineStr">
        <is>
          <t>us-gaap</t>
        </is>
      </c>
      <c r="D148" t="inlineStr">
        <is>
          <t>USD</t>
        </is>
      </c>
      <c r="E148" t="inlineStr">
        <is>
          <t>2024-01-01</t>
        </is>
      </c>
      <c r="F148" t="inlineStr">
        <is>
          <t>2024-12-31</t>
        </is>
      </c>
      <c r="G148" t="n">
        <v>-440700000</v>
      </c>
      <c r="H148" t="n">
        <v>2024</v>
      </c>
      <c r="I148" t="inlineStr">
        <is>
          <t>FY</t>
        </is>
      </c>
      <c r="J148" t="inlineStr">
        <is>
          <t>20-F</t>
        </is>
      </c>
      <c r="K148" t="inlineStr">
        <is>
          <t>2025-04-30</t>
        </is>
      </c>
      <c r="L148" t="inlineStr">
        <is>
          <t>0001558370-25-005991</t>
        </is>
      </c>
    </row>
    <row r="149">
      <c r="A149" t="inlineStr">
        <is>
          <t>operating_income</t>
        </is>
      </c>
      <c r="B149" t="inlineStr">
        <is>
          <t>OperatingIncomeLoss</t>
        </is>
      </c>
      <c r="C149" t="inlineStr">
        <is>
          <t>us-gaap</t>
        </is>
      </c>
      <c r="D149" t="inlineStr">
        <is>
          <t>USD</t>
        </is>
      </c>
      <c r="E149" t="inlineStr">
        <is>
          <t>2024-01-01</t>
        </is>
      </c>
      <c r="F149" t="inlineStr">
        <is>
          <t>2024-12-31</t>
        </is>
      </c>
      <c r="G149" t="n">
        <v>-399600000</v>
      </c>
      <c r="H149" t="n">
        <v>2025</v>
      </c>
      <c r="I149" t="inlineStr">
        <is>
          <t>FY</t>
        </is>
      </c>
      <c r="J149" t="inlineStr">
        <is>
          <t>20-F</t>
        </is>
      </c>
      <c r="K149" t="inlineStr">
        <is>
          <t>2026-04-30</t>
        </is>
      </c>
      <c r="L149" t="inlineStr">
        <is>
          <t>0001104659-26-052948</t>
        </is>
      </c>
      <c r="M149" t="inlineStr">
        <is>
          <t>CY2024</t>
        </is>
      </c>
    </row>
    <row r="150">
      <c r="A150" t="inlineStr">
        <is>
          <t>operating_income</t>
        </is>
      </c>
      <c r="B150" t="inlineStr">
        <is>
          <t>OperatingIncomeLoss</t>
        </is>
      </c>
      <c r="C150" t="inlineStr">
        <is>
          <t>us-gaap</t>
        </is>
      </c>
      <c r="D150" t="inlineStr">
        <is>
          <t>USD</t>
        </is>
      </c>
      <c r="E150" t="inlineStr">
        <is>
          <t>2025-01-01</t>
        </is>
      </c>
      <c r="F150" t="inlineStr">
        <is>
          <t>2025-12-31</t>
        </is>
      </c>
      <c r="G150" t="n">
        <v>-611700000</v>
      </c>
      <c r="H150" t="n">
        <v>2025</v>
      </c>
      <c r="I150" t="inlineStr">
        <is>
          <t>FY</t>
        </is>
      </c>
      <c r="J150" t="inlineStr">
        <is>
          <t>20-F</t>
        </is>
      </c>
      <c r="K150" t="inlineStr">
        <is>
          <t>2026-04-30</t>
        </is>
      </c>
      <c r="L150" t="inlineStr">
        <is>
          <t>0001104659-26-052948</t>
        </is>
      </c>
      <c r="M150" t="inlineStr">
        <is>
          <t>CY2025</t>
        </is>
      </c>
    </row>
    <row r="151">
      <c r="A151" t="inlineStr">
        <is>
          <t>ppe_net</t>
        </is>
      </c>
      <c r="B151" t="inlineStr">
        <is>
          <t>PropertyPlantAndEquipmentNet</t>
        </is>
      </c>
      <c r="C151" t="inlineStr">
        <is>
          <t>us-gaap</t>
        </is>
      </c>
      <c r="D151" t="inlineStr">
        <is>
          <t>USD</t>
        </is>
      </c>
      <c r="F151" t="inlineStr">
        <is>
          <t>2011-12-31</t>
        </is>
      </c>
      <c r="G151" t="n">
        <v>216600000</v>
      </c>
      <c r="H151" t="n">
        <v>2011</v>
      </c>
      <c r="I151" t="inlineStr">
        <is>
          <t>FY</t>
        </is>
      </c>
      <c r="J151" t="inlineStr">
        <is>
          <t>20-F</t>
        </is>
      </c>
      <c r="K151" t="inlineStr">
        <is>
          <t>2012-03-02</t>
        </is>
      </c>
      <c r="L151" t="inlineStr">
        <is>
          <t>0001047469-12-002052</t>
        </is>
      </c>
      <c r="M151" t="inlineStr">
        <is>
          <t>CY2011Q4I</t>
        </is>
      </c>
    </row>
    <row r="152">
      <c r="A152" t="inlineStr">
        <is>
          <t>ppe_net</t>
        </is>
      </c>
      <c r="B152" t="inlineStr">
        <is>
          <t>PropertyPlantAndEquipmentNet</t>
        </is>
      </c>
      <c r="C152" t="inlineStr">
        <is>
          <t>us-gaap</t>
        </is>
      </c>
      <c r="D152" t="inlineStr">
        <is>
          <t>USD</t>
        </is>
      </c>
      <c r="F152" t="inlineStr">
        <is>
          <t>2012-12-31</t>
        </is>
      </c>
      <c r="G152" t="n">
        <v>266500000</v>
      </c>
      <c r="H152" t="n">
        <v>2012</v>
      </c>
      <c r="I152" t="inlineStr">
        <is>
          <t>FY</t>
        </is>
      </c>
      <c r="J152" t="inlineStr">
        <is>
          <t>20-F</t>
        </is>
      </c>
      <c r="K152" t="inlineStr">
        <is>
          <t>2013-04-09</t>
        </is>
      </c>
      <c r="L152" t="inlineStr">
        <is>
          <t>0001047469-13-004131</t>
        </is>
      </c>
      <c r="M152" t="inlineStr">
        <is>
          <t>CY2012Q4I</t>
        </is>
      </c>
    </row>
    <row r="153">
      <c r="A153" t="inlineStr">
        <is>
          <t>ppe_net</t>
        </is>
      </c>
      <c r="B153" t="inlineStr">
        <is>
          <t>PropertyPlantAndEquipmentNet</t>
        </is>
      </c>
      <c r="C153" t="inlineStr">
        <is>
          <t>us-gaap</t>
        </is>
      </c>
      <c r="D153" t="inlineStr">
        <is>
          <t>USD</t>
        </is>
      </c>
      <c r="F153" t="inlineStr">
        <is>
          <t>2013-12-31</t>
        </is>
      </c>
      <c r="G153" t="n">
        <v>297300000</v>
      </c>
      <c r="H153" t="n">
        <v>2013</v>
      </c>
      <c r="I153" t="inlineStr">
        <is>
          <t>FY</t>
        </is>
      </c>
      <c r="J153" t="inlineStr">
        <is>
          <t>20-F</t>
        </is>
      </c>
      <c r="K153" t="inlineStr">
        <is>
          <t>2014-04-04</t>
        </is>
      </c>
      <c r="L153" t="inlineStr">
        <is>
          <t>0001047469-14-003438</t>
        </is>
      </c>
      <c r="M153" t="inlineStr">
        <is>
          <t>CY2013Q4I</t>
        </is>
      </c>
    </row>
    <row r="154">
      <c r="A154" t="inlineStr">
        <is>
          <t>ppe_net</t>
        </is>
      </c>
      <c r="B154" t="inlineStr">
        <is>
          <t>PropertyPlantAndEquipmentNet</t>
        </is>
      </c>
      <c r="C154" t="inlineStr">
        <is>
          <t>us-gaap</t>
        </is>
      </c>
      <c r="D154" t="inlineStr">
        <is>
          <t>USD</t>
        </is>
      </c>
      <c r="F154" t="inlineStr">
        <is>
          <t>2014-12-31</t>
        </is>
      </c>
      <c r="G154" t="n">
        <v>304100000</v>
      </c>
      <c r="H154" t="n">
        <v>2014</v>
      </c>
      <c r="I154" t="inlineStr">
        <is>
          <t>FY</t>
        </is>
      </c>
      <c r="J154" t="inlineStr">
        <is>
          <t>20-F</t>
        </is>
      </c>
      <c r="K154" t="inlineStr">
        <is>
          <t>2015-04-30</t>
        </is>
      </c>
      <c r="L154" t="inlineStr">
        <is>
          <t>0001047469-15-004230</t>
        </is>
      </c>
      <c r="M154" t="inlineStr">
        <is>
          <t>CY2014Q4I</t>
        </is>
      </c>
    </row>
    <row r="155">
      <c r="A155" t="inlineStr">
        <is>
          <t>ppe_net</t>
        </is>
      </c>
      <c r="B155" t="inlineStr">
        <is>
          <t>PropertyPlantAndEquipmentNet</t>
        </is>
      </c>
      <c r="C155" t="inlineStr">
        <is>
          <t>us-gaap</t>
        </is>
      </c>
      <c r="D155" t="inlineStr">
        <is>
          <t>USD</t>
        </is>
      </c>
      <c r="F155" t="inlineStr">
        <is>
          <t>2015-12-31</t>
        </is>
      </c>
      <c r="G155" t="n">
        <v>286200000</v>
      </c>
      <c r="H155" t="n">
        <v>2015</v>
      </c>
      <c r="I155" t="inlineStr">
        <is>
          <t>FY</t>
        </is>
      </c>
      <c r="J155" t="inlineStr">
        <is>
          <t>20-F</t>
        </is>
      </c>
      <c r="K155" t="inlineStr">
        <is>
          <t>2016-03-22</t>
        </is>
      </c>
      <c r="L155" t="inlineStr">
        <is>
          <t>0001047469-16-011404</t>
        </is>
      </c>
      <c r="M155" t="inlineStr">
        <is>
          <t>CY2015Q4I</t>
        </is>
      </c>
    </row>
    <row r="156">
      <c r="A156" t="inlineStr">
        <is>
          <t>ppe_net</t>
        </is>
      </c>
      <c r="B156" t="inlineStr">
        <is>
          <t>PropertyPlantAndEquipmentNet</t>
        </is>
      </c>
      <c r="C156" t="inlineStr">
        <is>
          <t>us-gaap</t>
        </is>
      </c>
      <c r="D156" t="inlineStr">
        <is>
          <t>USD</t>
        </is>
      </c>
      <c r="F156" t="inlineStr">
        <is>
          <t>2016-12-31</t>
        </is>
      </c>
      <c r="G156" t="n">
        <v>310200000</v>
      </c>
      <c r="H156" t="n">
        <v>2016</v>
      </c>
      <c r="I156" t="inlineStr">
        <is>
          <t>FY</t>
        </is>
      </c>
      <c r="J156" t="inlineStr">
        <is>
          <t>20-F</t>
        </is>
      </c>
      <c r="K156" t="inlineStr">
        <is>
          <t>2017-03-22</t>
        </is>
      </c>
      <c r="L156" t="inlineStr">
        <is>
          <t>0001513845-17-000004</t>
        </is>
      </c>
      <c r="M156" t="inlineStr">
        <is>
          <t>CY2016Q4I</t>
        </is>
      </c>
    </row>
    <row r="157">
      <c r="A157" t="inlineStr">
        <is>
          <t>ppe_net</t>
        </is>
      </c>
      <c r="B157" t="inlineStr">
        <is>
          <t>PropertyPlantAndEquipmentNet</t>
        </is>
      </c>
      <c r="C157" t="inlineStr">
        <is>
          <t>us-gaap</t>
        </is>
      </c>
      <c r="D157" t="inlineStr">
        <is>
          <t>USD</t>
        </is>
      </c>
      <c r="F157" t="inlineStr">
        <is>
          <t>2017-12-31</t>
        </is>
      </c>
      <c r="G157" t="n">
        <v>367600000</v>
      </c>
      <c r="H157" t="n">
        <v>2017</v>
      </c>
      <c r="I157" t="inlineStr">
        <is>
          <t>FY</t>
        </is>
      </c>
      <c r="J157" t="inlineStr">
        <is>
          <t>20-F</t>
        </is>
      </c>
      <c r="K157" t="inlineStr">
        <is>
          <t>2018-03-27</t>
        </is>
      </c>
      <c r="L157" t="inlineStr">
        <is>
          <t>0001513845-18-000013</t>
        </is>
      </c>
      <c r="M157" t="inlineStr">
        <is>
          <t>CY2017Q4I</t>
        </is>
      </c>
    </row>
    <row r="158">
      <c r="A158" t="inlineStr">
        <is>
          <t>ppe_net</t>
        </is>
      </c>
      <c r="B158" t="inlineStr">
        <is>
          <t>PropertyPlantAndEquipmentNet</t>
        </is>
      </c>
      <c r="C158" t="inlineStr">
        <is>
          <t>us-gaap</t>
        </is>
      </c>
      <c r="D158" t="inlineStr">
        <is>
          <t>USD</t>
        </is>
      </c>
      <c r="F158" t="inlineStr">
        <is>
          <t>2018-12-31</t>
        </is>
      </c>
      <c r="G158" t="n">
        <v>572000000</v>
      </c>
      <c r="H158" t="n">
        <v>2018</v>
      </c>
      <c r="I158" t="inlineStr">
        <is>
          <t>FY</t>
        </is>
      </c>
      <c r="J158" t="inlineStr">
        <is>
          <t>20-F</t>
        </is>
      </c>
      <c r="K158" t="inlineStr">
        <is>
          <t>2019-04-19</t>
        </is>
      </c>
      <c r="L158" t="inlineStr">
        <is>
          <t>0001513845-19-000009</t>
        </is>
      </c>
      <c r="M158" t="inlineStr">
        <is>
          <t>CY2018Q4I</t>
        </is>
      </c>
    </row>
    <row r="159">
      <c r="A159" t="inlineStr">
        <is>
          <t>ppe_net</t>
        </is>
      </c>
      <c r="B159" t="inlineStr">
        <is>
          <t>PropertyPlantAndEquipmentNet</t>
        </is>
      </c>
      <c r="C159" t="inlineStr">
        <is>
          <t>us-gaap</t>
        </is>
      </c>
      <c r="D159" t="inlineStr">
        <is>
          <t>USD</t>
        </is>
      </c>
      <c r="F159" t="inlineStr">
        <is>
          <t>2019-12-31</t>
        </is>
      </c>
      <c r="G159" t="n">
        <v>606900000</v>
      </c>
      <c r="H159" t="n">
        <v>2019</v>
      </c>
      <c r="I159" t="inlineStr">
        <is>
          <t>FY</t>
        </is>
      </c>
      <c r="J159" t="inlineStr">
        <is>
          <t>20-F/A</t>
        </is>
      </c>
      <c r="K159" t="inlineStr">
        <is>
          <t>2020-04-02</t>
        </is>
      </c>
      <c r="L159" t="inlineStr">
        <is>
          <t>0001558370-20-003563</t>
        </is>
      </c>
      <c r="M159" t="inlineStr">
        <is>
          <t>CY2019Q4I</t>
        </is>
      </c>
    </row>
    <row r="160">
      <c r="A160" t="inlineStr">
        <is>
          <t>ppe_net</t>
        </is>
      </c>
      <c r="B160" t="inlineStr">
        <is>
          <t>PropertyPlantAndEquipmentNet</t>
        </is>
      </c>
      <c r="C160" t="inlineStr">
        <is>
          <t>us-gaap</t>
        </is>
      </c>
      <c r="D160" t="inlineStr">
        <is>
          <t>USD</t>
        </is>
      </c>
      <c r="F160" t="inlineStr">
        <is>
          <t>2023-12-31</t>
        </is>
      </c>
      <c r="G160" t="n">
        <v>128200000</v>
      </c>
      <c r="H160" t="n">
        <v>2024</v>
      </c>
      <c r="I160" t="inlineStr">
        <is>
          <t>FY</t>
        </is>
      </c>
      <c r="J160" t="inlineStr">
        <is>
          <t>20-F</t>
        </is>
      </c>
      <c r="K160" t="inlineStr">
        <is>
          <t>2025-04-30</t>
        </is>
      </c>
      <c r="L160" t="inlineStr">
        <is>
          <t>0001558370-25-005991</t>
        </is>
      </c>
      <c r="M160" t="inlineStr">
        <is>
          <t>CY2023Q4I</t>
        </is>
      </c>
    </row>
    <row r="161">
      <c r="A161" t="inlineStr">
        <is>
          <t>ppe_net</t>
        </is>
      </c>
      <c r="B161" t="inlineStr">
        <is>
          <t>PropertyPlantAndEquipmentNet</t>
        </is>
      </c>
      <c r="C161" t="inlineStr">
        <is>
          <t>us-gaap</t>
        </is>
      </c>
      <c r="D161" t="inlineStr">
        <is>
          <t>USD</t>
        </is>
      </c>
      <c r="F161" t="inlineStr">
        <is>
          <t>2024-12-31</t>
        </is>
      </c>
      <c r="G161" t="n">
        <v>847000000</v>
      </c>
      <c r="H161" t="n">
        <v>2024</v>
      </c>
      <c r="I161" t="inlineStr">
        <is>
          <t>FY</t>
        </is>
      </c>
      <c r="J161" t="inlineStr">
        <is>
          <t>20-F</t>
        </is>
      </c>
      <c r="K161" t="inlineStr">
        <is>
          <t>2025-04-30</t>
        </is>
      </c>
      <c r="L161" t="inlineStr">
        <is>
          <t>0001558370-25-005991</t>
        </is>
      </c>
    </row>
    <row r="162">
      <c r="A162" t="inlineStr">
        <is>
          <t>ppe_net</t>
        </is>
      </c>
      <c r="B162" t="inlineStr">
        <is>
          <t>PropertyPlantAndEquipmentNet</t>
        </is>
      </c>
      <c r="C162" t="inlineStr">
        <is>
          <t>us-gaap</t>
        </is>
      </c>
      <c r="D162" t="inlineStr">
        <is>
          <t>USD</t>
        </is>
      </c>
      <c r="F162" t="inlineStr">
        <is>
          <t>2024-12-31</t>
        </is>
      </c>
      <c r="G162" t="n">
        <v>846700000</v>
      </c>
      <c r="H162" t="n">
        <v>2025</v>
      </c>
      <c r="I162" t="inlineStr">
        <is>
          <t>FY</t>
        </is>
      </c>
      <c r="J162" t="inlineStr">
        <is>
          <t>20-F</t>
        </is>
      </c>
      <c r="K162" t="inlineStr">
        <is>
          <t>2026-04-30</t>
        </is>
      </c>
      <c r="L162" t="inlineStr">
        <is>
          <t>0001104659-26-052948</t>
        </is>
      </c>
      <c r="M162" t="inlineStr">
        <is>
          <t>CY2024Q4I</t>
        </is>
      </c>
    </row>
    <row r="163">
      <c r="A163" t="inlineStr">
        <is>
          <t>ppe_net</t>
        </is>
      </c>
      <c r="B163" t="inlineStr">
        <is>
          <t>PropertyPlantAndEquipmentNet</t>
        </is>
      </c>
      <c r="C163" t="inlineStr">
        <is>
          <t>us-gaap</t>
        </is>
      </c>
      <c r="D163" t="inlineStr">
        <is>
          <t>USD</t>
        </is>
      </c>
      <c r="F163" t="inlineStr">
        <is>
          <t>2025-12-31</t>
        </is>
      </c>
      <c r="G163" t="n">
        <v>5553300000</v>
      </c>
      <c r="H163" t="n">
        <v>2025</v>
      </c>
      <c r="I163" t="inlineStr">
        <is>
          <t>FY</t>
        </is>
      </c>
      <c r="J163" t="inlineStr">
        <is>
          <t>20-F</t>
        </is>
      </c>
      <c r="K163" t="inlineStr">
        <is>
          <t>2026-04-30</t>
        </is>
      </c>
      <c r="L163" t="inlineStr">
        <is>
          <t>0001104659-26-052948</t>
        </is>
      </c>
      <c r="M163" t="inlineStr">
        <is>
          <t>CY2025Q4I</t>
        </is>
      </c>
    </row>
    <row r="164">
      <c r="A164" t="inlineStr">
        <is>
          <t>receivables</t>
        </is>
      </c>
      <c r="B164" t="inlineStr">
        <is>
          <t>AccountsReceivableNetCurrent</t>
        </is>
      </c>
      <c r="C164" t="inlineStr">
        <is>
          <t>us-gaap</t>
        </is>
      </c>
      <c r="D164" t="inlineStr">
        <is>
          <t>USD</t>
        </is>
      </c>
      <c r="F164" t="inlineStr">
        <is>
          <t>2011-12-31</t>
        </is>
      </c>
      <c r="G164" t="n">
        <v>38800000</v>
      </c>
      <c r="H164" t="n">
        <v>2011</v>
      </c>
      <c r="I164" t="inlineStr">
        <is>
          <t>FY</t>
        </is>
      </c>
      <c r="J164" t="inlineStr">
        <is>
          <t>20-F</t>
        </is>
      </c>
      <c r="K164" t="inlineStr">
        <is>
          <t>2012-03-02</t>
        </is>
      </c>
      <c r="L164" t="inlineStr">
        <is>
          <t>0001047469-12-002052</t>
        </is>
      </c>
      <c r="M164" t="inlineStr">
        <is>
          <t>CY2011Q4I</t>
        </is>
      </c>
    </row>
    <row r="165">
      <c r="A165" t="inlineStr">
        <is>
          <t>receivables</t>
        </is>
      </c>
      <c r="B165" t="inlineStr">
        <is>
          <t>AccountsReceivableNetCurrent</t>
        </is>
      </c>
      <c r="C165" t="inlineStr">
        <is>
          <t>us-gaap</t>
        </is>
      </c>
      <c r="D165" t="inlineStr">
        <is>
          <t>USD</t>
        </is>
      </c>
      <c r="F165" t="inlineStr">
        <is>
          <t>2012-12-31</t>
        </is>
      </c>
      <c r="G165" t="n">
        <v>58200000</v>
      </c>
      <c r="H165" t="n">
        <v>2012</v>
      </c>
      <c r="I165" t="inlineStr">
        <is>
          <t>FY</t>
        </is>
      </c>
      <c r="J165" t="inlineStr">
        <is>
          <t>20-F</t>
        </is>
      </c>
      <c r="K165" t="inlineStr">
        <is>
          <t>2013-04-09</t>
        </is>
      </c>
      <c r="L165" t="inlineStr">
        <is>
          <t>0001047469-13-004131</t>
        </is>
      </c>
      <c r="M165" t="inlineStr">
        <is>
          <t>CY2012Q4I</t>
        </is>
      </c>
    </row>
    <row r="166">
      <c r="A166" t="inlineStr">
        <is>
          <t>receivables</t>
        </is>
      </c>
      <c r="B166" t="inlineStr">
        <is>
          <t>AccountsReceivableNetCurrent</t>
        </is>
      </c>
      <c r="C166" t="inlineStr">
        <is>
          <t>us-gaap</t>
        </is>
      </c>
      <c r="D166" t="inlineStr">
        <is>
          <t>USD</t>
        </is>
      </c>
      <c r="F166" t="inlineStr">
        <is>
          <t>2013-12-31</t>
        </is>
      </c>
      <c r="G166" t="n">
        <v>85100000</v>
      </c>
      <c r="H166" t="n">
        <v>2013</v>
      </c>
      <c r="I166" t="inlineStr">
        <is>
          <t>FY</t>
        </is>
      </c>
      <c r="J166" t="inlineStr">
        <is>
          <t>20-F</t>
        </is>
      </c>
      <c r="K166" t="inlineStr">
        <is>
          <t>2014-04-04</t>
        </is>
      </c>
      <c r="L166" t="inlineStr">
        <is>
          <t>0001047469-14-003438</t>
        </is>
      </c>
      <c r="M166" t="inlineStr">
        <is>
          <t>CY2013Q4I</t>
        </is>
      </c>
    </row>
    <row r="167">
      <c r="A167" t="inlineStr">
        <is>
          <t>receivables</t>
        </is>
      </c>
      <c r="B167" t="inlineStr">
        <is>
          <t>AccountsReceivableNetCurrent</t>
        </is>
      </c>
      <c r="C167" t="inlineStr">
        <is>
          <t>us-gaap</t>
        </is>
      </c>
      <c r="D167" t="inlineStr">
        <is>
          <t>USD</t>
        </is>
      </c>
      <c r="F167" t="inlineStr">
        <is>
          <t>2014-12-31</t>
        </is>
      </c>
      <c r="G167" t="n">
        <v>65800000</v>
      </c>
      <c r="H167" t="n">
        <v>2014</v>
      </c>
      <c r="I167" t="inlineStr">
        <is>
          <t>FY</t>
        </is>
      </c>
      <c r="J167" t="inlineStr">
        <is>
          <t>20-F</t>
        </is>
      </c>
      <c r="K167" t="inlineStr">
        <is>
          <t>2015-04-30</t>
        </is>
      </c>
      <c r="L167" t="inlineStr">
        <is>
          <t>0001047469-15-004230</t>
        </is>
      </c>
      <c r="M167" t="inlineStr">
        <is>
          <t>CY2014Q4I</t>
        </is>
      </c>
    </row>
    <row r="168">
      <c r="A168" t="inlineStr">
        <is>
          <t>receivables</t>
        </is>
      </c>
      <c r="B168" t="inlineStr">
        <is>
          <t>AccountsReceivableNetCurrent</t>
        </is>
      </c>
      <c r="C168" t="inlineStr">
        <is>
          <t>us-gaap</t>
        </is>
      </c>
      <c r="D168" t="inlineStr">
        <is>
          <t>USD</t>
        </is>
      </c>
      <c r="F168" t="inlineStr">
        <is>
          <t>2015-12-31</t>
        </is>
      </c>
      <c r="G168" t="n">
        <v>76600000</v>
      </c>
      <c r="H168" t="n">
        <v>2015</v>
      </c>
      <c r="I168" t="inlineStr">
        <is>
          <t>FY</t>
        </is>
      </c>
      <c r="J168" t="inlineStr">
        <is>
          <t>20-F</t>
        </is>
      </c>
      <c r="K168" t="inlineStr">
        <is>
          <t>2016-03-22</t>
        </is>
      </c>
      <c r="L168" t="inlineStr">
        <is>
          <t>0001047469-16-011404</t>
        </is>
      </c>
      <c r="M168" t="inlineStr">
        <is>
          <t>CY2015Q4I</t>
        </is>
      </c>
    </row>
    <row r="169">
      <c r="A169" t="inlineStr">
        <is>
          <t>receivables</t>
        </is>
      </c>
      <c r="B169" t="inlineStr">
        <is>
          <t>AccountsReceivableNetCurrent</t>
        </is>
      </c>
      <c r="C169" t="inlineStr">
        <is>
          <t>us-gaap</t>
        </is>
      </c>
      <c r="D169" t="inlineStr">
        <is>
          <t>USD</t>
        </is>
      </c>
      <c r="F169" t="inlineStr">
        <is>
          <t>2016-12-31</t>
        </is>
      </c>
      <c r="G169" t="n">
        <v>127600000</v>
      </c>
      <c r="H169" t="n">
        <v>2016</v>
      </c>
      <c r="I169" t="inlineStr">
        <is>
          <t>FY</t>
        </is>
      </c>
      <c r="J169" t="inlineStr">
        <is>
          <t>20-F</t>
        </is>
      </c>
      <c r="K169" t="inlineStr">
        <is>
          <t>2017-03-22</t>
        </is>
      </c>
      <c r="L169" t="inlineStr">
        <is>
          <t>0001513845-17-000004</t>
        </is>
      </c>
      <c r="M169" t="inlineStr">
        <is>
          <t>CY2016Q4I</t>
        </is>
      </c>
    </row>
    <row r="170">
      <c r="A170" t="inlineStr">
        <is>
          <t>receivables</t>
        </is>
      </c>
      <c r="B170" t="inlineStr">
        <is>
          <t>AccountsReceivableNetCurrent</t>
        </is>
      </c>
      <c r="C170" t="inlineStr">
        <is>
          <t>us-gaap</t>
        </is>
      </c>
      <c r="D170" t="inlineStr">
        <is>
          <t>USD</t>
        </is>
      </c>
      <c r="F170" t="inlineStr">
        <is>
          <t>2017-12-31</t>
        </is>
      </c>
      <c r="G170" t="n">
        <v>169300000</v>
      </c>
      <c r="H170" t="n">
        <v>2017</v>
      </c>
      <c r="I170" t="inlineStr">
        <is>
          <t>FY</t>
        </is>
      </c>
      <c r="J170" t="inlineStr">
        <is>
          <t>20-F</t>
        </is>
      </c>
      <c r="K170" t="inlineStr">
        <is>
          <t>2018-03-27</t>
        </is>
      </c>
      <c r="L170" t="inlineStr">
        <is>
          <t>0001513845-18-000013</t>
        </is>
      </c>
      <c r="M170" t="inlineStr">
        <is>
          <t>CY2017Q4I</t>
        </is>
      </c>
    </row>
    <row r="171">
      <c r="A171" t="inlineStr">
        <is>
          <t>receivables</t>
        </is>
      </c>
      <c r="B171" t="inlineStr">
        <is>
          <t>AccountsReceivableNetCurrent</t>
        </is>
      </c>
      <c r="C171" t="inlineStr">
        <is>
          <t>us-gaap</t>
        </is>
      </c>
      <c r="D171" t="inlineStr">
        <is>
          <t>USD</t>
        </is>
      </c>
      <c r="F171" t="inlineStr">
        <is>
          <t>2018-12-31</t>
        </is>
      </c>
      <c r="G171" t="n">
        <v>209700000</v>
      </c>
      <c r="H171" t="n">
        <v>2018</v>
      </c>
      <c r="I171" t="inlineStr">
        <is>
          <t>FY</t>
        </is>
      </c>
      <c r="J171" t="inlineStr">
        <is>
          <t>20-F</t>
        </is>
      </c>
      <c r="K171" t="inlineStr">
        <is>
          <t>2019-04-19</t>
        </is>
      </c>
      <c r="L171" t="inlineStr">
        <is>
          <t>0001513845-19-000009</t>
        </is>
      </c>
      <c r="M171" t="inlineStr">
        <is>
          <t>CY2018Q4I</t>
        </is>
      </c>
    </row>
    <row r="172">
      <c r="A172" t="inlineStr">
        <is>
          <t>receivables</t>
        </is>
      </c>
      <c r="B172" t="inlineStr">
        <is>
          <t>AccountsReceivableNetCurrent</t>
        </is>
      </c>
      <c r="C172" t="inlineStr">
        <is>
          <t>us-gaap</t>
        </is>
      </c>
      <c r="D172" t="inlineStr">
        <is>
          <t>USD</t>
        </is>
      </c>
      <c r="F172" t="inlineStr">
        <is>
          <t>2019-12-31</t>
        </is>
      </c>
      <c r="G172" t="n">
        <v>226200000</v>
      </c>
      <c r="H172" t="n">
        <v>2019</v>
      </c>
      <c r="I172" t="inlineStr">
        <is>
          <t>FY</t>
        </is>
      </c>
      <c r="J172" t="inlineStr">
        <is>
          <t>20-F/A</t>
        </is>
      </c>
      <c r="K172" t="inlineStr">
        <is>
          <t>2020-04-02</t>
        </is>
      </c>
      <c r="L172" t="inlineStr">
        <is>
          <t>0001558370-20-003563</t>
        </is>
      </c>
      <c r="M172" t="inlineStr">
        <is>
          <t>CY2019Q4I</t>
        </is>
      </c>
    </row>
    <row r="173">
      <c r="A173" t="inlineStr">
        <is>
          <t>receivables</t>
        </is>
      </c>
      <c r="B173" t="inlineStr">
        <is>
          <t>AccountsReceivableNetCurrent</t>
        </is>
      </c>
      <c r="C173" t="inlineStr">
        <is>
          <t>us-gaap</t>
        </is>
      </c>
      <c r="D173" t="inlineStr">
        <is>
          <t>USD</t>
        </is>
      </c>
      <c r="F173" t="inlineStr">
        <is>
          <t>2020-12-31</t>
        </is>
      </c>
      <c r="G173" t="n">
        <v>344400000</v>
      </c>
      <c r="H173" t="n">
        <v>2020</v>
      </c>
      <c r="I173" t="inlineStr">
        <is>
          <t>FY</t>
        </is>
      </c>
      <c r="J173" t="inlineStr">
        <is>
          <t>20-F</t>
        </is>
      </c>
      <c r="K173" t="inlineStr">
        <is>
          <t>2021-04-01</t>
        </is>
      </c>
      <c r="L173" t="inlineStr">
        <is>
          <t>0001513845-21-000014</t>
        </is>
      </c>
      <c r="M173" t="inlineStr">
        <is>
          <t>CY2020Q4I</t>
        </is>
      </c>
    </row>
    <row r="174">
      <c r="A174" t="inlineStr">
        <is>
          <t>receivables</t>
        </is>
      </c>
      <c r="B174" t="inlineStr">
        <is>
          <t>AccountsReceivableNetCurrent</t>
        </is>
      </c>
      <c r="C174" t="inlineStr">
        <is>
          <t>us-gaap</t>
        </is>
      </c>
      <c r="D174" t="inlineStr">
        <is>
          <t>USD</t>
        </is>
      </c>
      <c r="F174" t="inlineStr">
        <is>
          <t>2021-12-31</t>
        </is>
      </c>
      <c r="G174" t="n">
        <v>586400000</v>
      </c>
      <c r="H174" t="n">
        <v>2021</v>
      </c>
      <c r="I174" t="inlineStr">
        <is>
          <t>FY</t>
        </is>
      </c>
      <c r="J174" t="inlineStr">
        <is>
          <t>20-F</t>
        </is>
      </c>
      <c r="K174" t="inlineStr">
        <is>
          <t>2022-04-20</t>
        </is>
      </c>
      <c r="L174" t="inlineStr">
        <is>
          <t>0001558370-22-005654</t>
        </is>
      </c>
      <c r="M174" t="inlineStr">
        <is>
          <t>CY2021Q4I</t>
        </is>
      </c>
    </row>
    <row r="175">
      <c r="A175" t="inlineStr">
        <is>
          <t>receivables</t>
        </is>
      </c>
      <c r="B175" t="inlineStr">
        <is>
          <t>AccountsReceivableNetCurrent</t>
        </is>
      </c>
      <c r="C175" t="inlineStr">
        <is>
          <t>us-gaap</t>
        </is>
      </c>
      <c r="D175" t="inlineStr">
        <is>
          <t>USD</t>
        </is>
      </c>
      <c r="F175" t="inlineStr">
        <is>
          <t>2022-12-31</t>
        </is>
      </c>
      <c r="G175" t="n">
        <v>824800000</v>
      </c>
      <c r="H175" t="n">
        <v>2022</v>
      </c>
      <c r="I175" t="inlineStr">
        <is>
          <t>FY</t>
        </is>
      </c>
      <c r="J175" t="inlineStr">
        <is>
          <t>20-F</t>
        </is>
      </c>
      <c r="K175" t="inlineStr">
        <is>
          <t>2023-04-20</t>
        </is>
      </c>
      <c r="L175" t="inlineStr">
        <is>
          <t>0001558370-23-006319</t>
        </is>
      </c>
      <c r="M175" t="inlineStr">
        <is>
          <t>CY2022Q4I</t>
        </is>
      </c>
    </row>
    <row r="176">
      <c r="A176" t="inlineStr">
        <is>
          <t>receivables</t>
        </is>
      </c>
      <c r="B176" t="inlineStr">
        <is>
          <t>AccountsReceivableNetCurrent</t>
        </is>
      </c>
      <c r="C176" t="inlineStr">
        <is>
          <t>us-gaap</t>
        </is>
      </c>
      <c r="D176" t="inlineStr">
        <is>
          <t>USD</t>
        </is>
      </c>
      <c r="F176" t="inlineStr">
        <is>
          <t>2023-12-31</t>
        </is>
      </c>
      <c r="G176" t="n">
        <v>952700000</v>
      </c>
      <c r="H176" t="n">
        <v>2023</v>
      </c>
      <c r="I176" t="inlineStr">
        <is>
          <t>FY</t>
        </is>
      </c>
      <c r="J176" t="inlineStr">
        <is>
          <t>20-F</t>
        </is>
      </c>
      <c r="K176" t="inlineStr">
        <is>
          <t>2024-04-26</t>
        </is>
      </c>
      <c r="L176" t="inlineStr">
        <is>
          <t>0001558370-24-005891</t>
        </is>
      </c>
    </row>
    <row r="177">
      <c r="A177" t="inlineStr">
        <is>
          <t>receivables</t>
        </is>
      </c>
      <c r="B177" t="inlineStr">
        <is>
          <t>AccountsReceivableNetCurrent</t>
        </is>
      </c>
      <c r="C177" t="inlineStr">
        <is>
          <t>us-gaap</t>
        </is>
      </c>
      <c r="D177" t="inlineStr">
        <is>
          <t>USD</t>
        </is>
      </c>
      <c r="F177" t="inlineStr">
        <is>
          <t>2023-12-31</t>
        </is>
      </c>
      <c r="G177" t="n">
        <v>4100000</v>
      </c>
      <c r="H177" t="n">
        <v>2024</v>
      </c>
      <c r="I177" t="inlineStr">
        <is>
          <t>FY</t>
        </is>
      </c>
      <c r="J177" t="inlineStr">
        <is>
          <t>20-F</t>
        </is>
      </c>
      <c r="K177" t="inlineStr">
        <is>
          <t>2025-04-30</t>
        </is>
      </c>
      <c r="L177" t="inlineStr">
        <is>
          <t>0001558370-25-005991</t>
        </is>
      </c>
      <c r="M177" t="inlineStr">
        <is>
          <t>CY2023Q4I</t>
        </is>
      </c>
    </row>
    <row r="178">
      <c r="A178" t="inlineStr">
        <is>
          <t>receivables</t>
        </is>
      </c>
      <c r="B178" t="inlineStr">
        <is>
          <t>AccountsReceivableNetCurrent</t>
        </is>
      </c>
      <c r="C178" t="inlineStr">
        <is>
          <t>us-gaap</t>
        </is>
      </c>
      <c r="D178" t="inlineStr">
        <is>
          <t>USD</t>
        </is>
      </c>
      <c r="F178" t="inlineStr">
        <is>
          <t>2024-12-31</t>
        </is>
      </c>
      <c r="G178" t="n">
        <v>13100000</v>
      </c>
      <c r="H178" t="n">
        <v>2024</v>
      </c>
      <c r="I178" t="inlineStr">
        <is>
          <t>FY</t>
        </is>
      </c>
      <c r="J178" t="inlineStr">
        <is>
          <t>20-F</t>
        </is>
      </c>
      <c r="K178" t="inlineStr">
        <is>
          <t>2025-04-30</t>
        </is>
      </c>
      <c r="L178" t="inlineStr">
        <is>
          <t>0001558370-25-005991</t>
        </is>
      </c>
    </row>
    <row r="179">
      <c r="A179" t="inlineStr">
        <is>
          <t>receivables</t>
        </is>
      </c>
      <c r="B179" t="inlineStr">
        <is>
          <t>AccountsReceivableNetCurrent</t>
        </is>
      </c>
      <c r="C179" t="inlineStr">
        <is>
          <t>us-gaap</t>
        </is>
      </c>
      <c r="D179" t="inlineStr">
        <is>
          <t>USD</t>
        </is>
      </c>
      <c r="F179" t="inlineStr">
        <is>
          <t>2024-12-31</t>
        </is>
      </c>
      <c r="G179" t="n">
        <v>11200000</v>
      </c>
      <c r="H179" t="n">
        <v>2025</v>
      </c>
      <c r="I179" t="inlineStr">
        <is>
          <t>FY</t>
        </is>
      </c>
      <c r="J179" t="inlineStr">
        <is>
          <t>20-F</t>
        </is>
      </c>
      <c r="K179" t="inlineStr">
        <is>
          <t>2026-04-30</t>
        </is>
      </c>
      <c r="L179" t="inlineStr">
        <is>
          <t>0001104659-26-052948</t>
        </is>
      </c>
      <c r="M179" t="inlineStr">
        <is>
          <t>CY2024Q4I</t>
        </is>
      </c>
    </row>
    <row r="180">
      <c r="A180" t="inlineStr">
        <is>
          <t>receivables</t>
        </is>
      </c>
      <c r="B180" t="inlineStr">
        <is>
          <t>AccountsReceivableNetCurrent</t>
        </is>
      </c>
      <c r="C180" t="inlineStr">
        <is>
          <t>us-gaap</t>
        </is>
      </c>
      <c r="D180" t="inlineStr">
        <is>
          <t>USD</t>
        </is>
      </c>
      <c r="F180" t="inlineStr">
        <is>
          <t>2025-12-31</t>
        </is>
      </c>
      <c r="G180" t="n">
        <v>720300000</v>
      </c>
      <c r="H180" t="n">
        <v>2025</v>
      </c>
      <c r="I180" t="inlineStr">
        <is>
          <t>FY</t>
        </is>
      </c>
      <c r="J180" t="inlineStr">
        <is>
          <t>20-F</t>
        </is>
      </c>
      <c r="K180" t="inlineStr">
        <is>
          <t>2026-04-30</t>
        </is>
      </c>
      <c r="L180" t="inlineStr">
        <is>
          <t>0001104659-26-052948</t>
        </is>
      </c>
      <c r="M180" t="inlineStr">
        <is>
          <t>CY2025Q4I</t>
        </is>
      </c>
    </row>
    <row r="181">
      <c r="A181" t="inlineStr">
        <is>
          <t>revenue</t>
        </is>
      </c>
      <c r="B181" t="inlineStr">
        <is>
          <t>Revenues</t>
        </is>
      </c>
      <c r="C181" t="inlineStr">
        <is>
          <t>us-gaap</t>
        </is>
      </c>
      <c r="D181" t="inlineStr">
        <is>
          <t>USD</t>
        </is>
      </c>
      <c r="E181" t="inlineStr">
        <is>
          <t>2011-01-01</t>
        </is>
      </c>
      <c r="F181" t="inlineStr">
        <is>
          <t>2011-12-31</t>
        </is>
      </c>
      <c r="G181" t="n">
        <v>622200000</v>
      </c>
      <c r="H181" t="n">
        <v>2011</v>
      </c>
      <c r="I181" t="inlineStr">
        <is>
          <t>FY</t>
        </is>
      </c>
      <c r="J181" t="inlineStr">
        <is>
          <t>20-F</t>
        </is>
      </c>
      <c r="K181" t="inlineStr">
        <is>
          <t>2012-03-02</t>
        </is>
      </c>
      <c r="L181" t="inlineStr">
        <is>
          <t>0001047469-12-002052</t>
        </is>
      </c>
      <c r="M181" t="inlineStr">
        <is>
          <t>CY2011</t>
        </is>
      </c>
    </row>
    <row r="182">
      <c r="A182" t="inlineStr">
        <is>
          <t>revenue</t>
        </is>
      </c>
      <c r="B182" t="inlineStr">
        <is>
          <t>Revenues</t>
        </is>
      </c>
      <c r="C182" t="inlineStr">
        <is>
          <t>us-gaap</t>
        </is>
      </c>
      <c r="D182" t="inlineStr">
        <is>
          <t>USD</t>
        </is>
      </c>
      <c r="E182" t="inlineStr">
        <is>
          <t>2012-01-01</t>
        </is>
      </c>
      <c r="F182" t="inlineStr">
        <is>
          <t>2012-12-31</t>
        </is>
      </c>
      <c r="G182" t="n">
        <v>947100000</v>
      </c>
      <c r="H182" t="n">
        <v>2012</v>
      </c>
      <c r="I182" t="inlineStr">
        <is>
          <t>FY</t>
        </is>
      </c>
      <c r="J182" t="inlineStr">
        <is>
          <t>20-F</t>
        </is>
      </c>
      <c r="K182" t="inlineStr">
        <is>
          <t>2013-04-09</t>
        </is>
      </c>
      <c r="L182" t="inlineStr">
        <is>
          <t>0001047469-13-004131</t>
        </is>
      </c>
      <c r="M182" t="inlineStr">
        <is>
          <t>CY2012</t>
        </is>
      </c>
    </row>
    <row r="183">
      <c r="A183" t="inlineStr">
        <is>
          <t>revenue</t>
        </is>
      </c>
      <c r="B183" t="inlineStr">
        <is>
          <t>Revenues</t>
        </is>
      </c>
      <c r="C183" t="inlineStr">
        <is>
          <t>us-gaap</t>
        </is>
      </c>
      <c r="D183" t="inlineStr">
        <is>
          <t>USD</t>
        </is>
      </c>
      <c r="E183" t="inlineStr">
        <is>
          <t>2013-01-01</t>
        </is>
      </c>
      <c r="F183" t="inlineStr">
        <is>
          <t>2013-12-31</t>
        </is>
      </c>
      <c r="G183" t="n">
        <v>1206900000</v>
      </c>
      <c r="H183" t="n">
        <v>2013</v>
      </c>
      <c r="I183" t="inlineStr">
        <is>
          <t>FY</t>
        </is>
      </c>
      <c r="J183" t="inlineStr">
        <is>
          <t>20-F</t>
        </is>
      </c>
      <c r="K183" t="inlineStr">
        <is>
          <t>2014-04-04</t>
        </is>
      </c>
      <c r="L183" t="inlineStr">
        <is>
          <t>0001047469-14-003438</t>
        </is>
      </c>
      <c r="M183" t="inlineStr">
        <is>
          <t>CY2013</t>
        </is>
      </c>
    </row>
    <row r="184">
      <c r="A184" t="inlineStr">
        <is>
          <t>revenue</t>
        </is>
      </c>
      <c r="B184" t="inlineStr">
        <is>
          <t>Revenues</t>
        </is>
      </c>
      <c r="C184" t="inlineStr">
        <is>
          <t>us-gaap</t>
        </is>
      </c>
      <c r="D184" t="inlineStr">
        <is>
          <t>USD</t>
        </is>
      </c>
      <c r="E184" t="inlineStr">
        <is>
          <t>2014-01-01</t>
        </is>
      </c>
      <c r="F184" t="inlineStr">
        <is>
          <t>2014-12-31</t>
        </is>
      </c>
      <c r="G184" t="n">
        <v>902400000</v>
      </c>
      <c r="H184" t="n">
        <v>2014</v>
      </c>
      <c r="I184" t="inlineStr">
        <is>
          <t>FY</t>
        </is>
      </c>
      <c r="J184" t="inlineStr">
        <is>
          <t>20-F</t>
        </is>
      </c>
      <c r="K184" t="inlineStr">
        <is>
          <t>2015-04-30</t>
        </is>
      </c>
      <c r="L184" t="inlineStr">
        <is>
          <t>0001047469-15-004230</t>
        </is>
      </c>
      <c r="M184" t="inlineStr">
        <is>
          <t>CY2014</t>
        </is>
      </c>
    </row>
    <row r="185">
      <c r="A185" t="inlineStr">
        <is>
          <t>revenue</t>
        </is>
      </c>
      <c r="B185" t="inlineStr">
        <is>
          <t>Revenues</t>
        </is>
      </c>
      <c r="C185" t="inlineStr">
        <is>
          <t>us-gaap</t>
        </is>
      </c>
      <c r="D185" t="inlineStr">
        <is>
          <t>USD</t>
        </is>
      </c>
      <c r="E185" t="inlineStr">
        <is>
          <t>2015-01-01</t>
        </is>
      </c>
      <c r="F185" t="inlineStr">
        <is>
          <t>2015-12-31</t>
        </is>
      </c>
      <c r="G185" t="n">
        <v>820400000</v>
      </c>
      <c r="H185" t="n">
        <v>2015</v>
      </c>
      <c r="I185" t="inlineStr">
        <is>
          <t>FY</t>
        </is>
      </c>
      <c r="J185" t="inlineStr">
        <is>
          <t>20-F</t>
        </is>
      </c>
      <c r="K185" t="inlineStr">
        <is>
          <t>2016-03-22</t>
        </is>
      </c>
      <c r="L185" t="inlineStr">
        <is>
          <t>0001047469-16-011404</t>
        </is>
      </c>
      <c r="M185" t="inlineStr">
        <is>
          <t>CY2015</t>
        </is>
      </c>
    </row>
    <row r="186">
      <c r="A186" t="inlineStr">
        <is>
          <t>revenue</t>
        </is>
      </c>
      <c r="B186" t="inlineStr">
        <is>
          <t>Revenues</t>
        </is>
      </c>
      <c r="C186" t="inlineStr">
        <is>
          <t>us-gaap</t>
        </is>
      </c>
      <c r="D186" t="inlineStr">
        <is>
          <t>USD</t>
        </is>
      </c>
      <c r="E186" t="inlineStr">
        <is>
          <t>2016-01-01</t>
        </is>
      </c>
      <c r="F186" t="inlineStr">
        <is>
          <t>2016-12-31</t>
        </is>
      </c>
      <c r="G186" t="n">
        <v>1251700000</v>
      </c>
      <c r="H186" t="n">
        <v>2016</v>
      </c>
      <c r="I186" t="inlineStr">
        <is>
          <t>FY</t>
        </is>
      </c>
      <c r="J186" t="inlineStr">
        <is>
          <t>20-F</t>
        </is>
      </c>
      <c r="K186" t="inlineStr">
        <is>
          <t>2017-03-22</t>
        </is>
      </c>
      <c r="L186" t="inlineStr">
        <is>
          <t>0001513845-17-000004</t>
        </is>
      </c>
      <c r="M186" t="inlineStr">
        <is>
          <t>CY2016</t>
        </is>
      </c>
    </row>
    <row r="187">
      <c r="A187" t="inlineStr">
        <is>
          <t>revenue</t>
        </is>
      </c>
      <c r="B187" t="inlineStr">
        <is>
          <t>Revenues</t>
        </is>
      </c>
      <c r="C187" t="inlineStr">
        <is>
          <t>us-gaap</t>
        </is>
      </c>
      <c r="D187" t="inlineStr">
        <is>
          <t>USD</t>
        </is>
      </c>
      <c r="E187" t="inlineStr">
        <is>
          <t>2017-01-01</t>
        </is>
      </c>
      <c r="F187" t="inlineStr">
        <is>
          <t>2017-12-31</t>
        </is>
      </c>
      <c r="G187" t="n">
        <v>1632900000</v>
      </c>
      <c r="H187" t="n">
        <v>2017</v>
      </c>
      <c r="I187" t="inlineStr">
        <is>
          <t>FY</t>
        </is>
      </c>
      <c r="J187" t="inlineStr">
        <is>
          <t>20-F</t>
        </is>
      </c>
      <c r="K187" t="inlineStr">
        <is>
          <t>2018-03-27</t>
        </is>
      </c>
      <c r="L187" t="inlineStr">
        <is>
          <t>0001513845-18-000013</t>
        </is>
      </c>
      <c r="M187" t="inlineStr">
        <is>
          <t>CY2017</t>
        </is>
      </c>
    </row>
    <row r="188">
      <c r="A188" t="inlineStr">
        <is>
          <t>revenue</t>
        </is>
      </c>
      <c r="B188" t="inlineStr">
        <is>
          <t>Revenues</t>
        </is>
      </c>
      <c r="C188" t="inlineStr">
        <is>
          <t>us-gaap</t>
        </is>
      </c>
      <c r="D188" t="inlineStr">
        <is>
          <t>USD</t>
        </is>
      </c>
      <c r="E188" t="inlineStr">
        <is>
          <t>2018-01-01</t>
        </is>
      </c>
      <c r="F188" t="inlineStr">
        <is>
          <t>2018-12-31</t>
        </is>
      </c>
      <c r="G188" t="n">
        <v>1837600000</v>
      </c>
      <c r="H188" t="n">
        <v>2018</v>
      </c>
      <c r="I188" t="inlineStr">
        <is>
          <t>FY</t>
        </is>
      </c>
      <c r="J188" t="inlineStr">
        <is>
          <t>20-F</t>
        </is>
      </c>
      <c r="K188" t="inlineStr">
        <is>
          <t>2019-04-19</t>
        </is>
      </c>
      <c r="L188" t="inlineStr">
        <is>
          <t>0001513845-19-000009</t>
        </is>
      </c>
      <c r="M188" t="inlineStr">
        <is>
          <t>CY2018</t>
        </is>
      </c>
    </row>
    <row r="189">
      <c r="A189" t="inlineStr">
        <is>
          <t>revenue</t>
        </is>
      </c>
      <c r="B189" t="inlineStr">
        <is>
          <t>Revenues</t>
        </is>
      </c>
      <c r="C189" t="inlineStr">
        <is>
          <t>us-gaap</t>
        </is>
      </c>
      <c r="D189" t="inlineStr">
        <is>
          <t>USD</t>
        </is>
      </c>
      <c r="E189" t="inlineStr">
        <is>
          <t>2019-01-01</t>
        </is>
      </c>
      <c r="F189" t="inlineStr">
        <is>
          <t>2019-12-31</t>
        </is>
      </c>
      <c r="G189" t="n">
        <v>2224400000</v>
      </c>
      <c r="H189" t="n">
        <v>2019</v>
      </c>
      <c r="I189" t="inlineStr">
        <is>
          <t>FY</t>
        </is>
      </c>
      <c r="J189" t="inlineStr">
        <is>
          <t>20-F/A</t>
        </is>
      </c>
      <c r="K189" t="inlineStr">
        <is>
          <t>2020-04-02</t>
        </is>
      </c>
      <c r="L189" t="inlineStr">
        <is>
          <t>0001558370-20-003563</t>
        </is>
      </c>
      <c r="M189" t="inlineStr">
        <is>
          <t>CY2019</t>
        </is>
      </c>
    </row>
    <row r="190">
      <c r="A190" t="inlineStr">
        <is>
          <t>revenue</t>
        </is>
      </c>
      <c r="B190" t="inlineStr">
        <is>
          <t>Revenues</t>
        </is>
      </c>
      <c r="C190" t="inlineStr">
        <is>
          <t>us-gaap</t>
        </is>
      </c>
      <c r="D190" t="inlineStr">
        <is>
          <t>USD</t>
        </is>
      </c>
      <c r="E190" t="inlineStr">
        <is>
          <t>2020-01-01</t>
        </is>
      </c>
      <c r="F190" t="inlineStr">
        <is>
          <t>2020-12-31</t>
        </is>
      </c>
      <c r="G190" t="n">
        <v>2955600000</v>
      </c>
      <c r="H190" t="n">
        <v>2020</v>
      </c>
      <c r="I190" t="inlineStr">
        <is>
          <t>FY</t>
        </is>
      </c>
      <c r="J190" t="inlineStr">
        <is>
          <t>20-F</t>
        </is>
      </c>
      <c r="K190" t="inlineStr">
        <is>
          <t>2021-04-01</t>
        </is>
      </c>
      <c r="L190" t="inlineStr">
        <is>
          <t>0001513845-21-000014</t>
        </is>
      </c>
      <c r="M190" t="inlineStr">
        <is>
          <t>CY2020</t>
        </is>
      </c>
    </row>
    <row r="191">
      <c r="A191" t="inlineStr">
        <is>
          <t>revenue</t>
        </is>
      </c>
      <c r="B191" t="inlineStr">
        <is>
          <t>Revenues</t>
        </is>
      </c>
      <c r="C191" t="inlineStr">
        <is>
          <t>us-gaap</t>
        </is>
      </c>
      <c r="D191" t="inlineStr">
        <is>
          <t>USD</t>
        </is>
      </c>
      <c r="E191" t="inlineStr">
        <is>
          <t>2021-01-01</t>
        </is>
      </c>
      <c r="F191" t="inlineStr">
        <is>
          <t>2021-12-31</t>
        </is>
      </c>
      <c r="G191" t="n">
        <v>4794200000</v>
      </c>
      <c r="H191" t="n">
        <v>2021</v>
      </c>
      <c r="I191" t="inlineStr">
        <is>
          <t>FY</t>
        </is>
      </c>
      <c r="J191" t="inlineStr">
        <is>
          <t>20-F</t>
        </is>
      </c>
      <c r="K191" t="inlineStr">
        <is>
          <t>2022-04-20</t>
        </is>
      </c>
      <c r="L191" t="inlineStr">
        <is>
          <t>0001558370-22-005654</t>
        </is>
      </c>
      <c r="M191" t="inlineStr">
        <is>
          <t>CY2021</t>
        </is>
      </c>
    </row>
    <row r="192">
      <c r="A192" t="inlineStr">
        <is>
          <t>revenue</t>
        </is>
      </c>
      <c r="B192" t="inlineStr">
        <is>
          <t>Revenues</t>
        </is>
      </c>
      <c r="C192" t="inlineStr">
        <is>
          <t>us-gaap</t>
        </is>
      </c>
      <c r="D192" t="inlineStr">
        <is>
          <t>USD</t>
        </is>
      </c>
      <c r="E192" t="inlineStr">
        <is>
          <t>2022-01-01</t>
        </is>
      </c>
      <c r="F192" t="inlineStr">
        <is>
          <t>2022-12-31</t>
        </is>
      </c>
      <c r="G192" t="n">
        <v>7417100000</v>
      </c>
      <c r="H192" t="n">
        <v>2022</v>
      </c>
      <c r="I192" t="inlineStr">
        <is>
          <t>FY</t>
        </is>
      </c>
      <c r="J192" t="inlineStr">
        <is>
          <t>20-F</t>
        </is>
      </c>
      <c r="K192" t="inlineStr">
        <is>
          <t>2023-04-20</t>
        </is>
      </c>
      <c r="L192" t="inlineStr">
        <is>
          <t>0001558370-23-006319</t>
        </is>
      </c>
    </row>
    <row r="193">
      <c r="A193" t="inlineStr">
        <is>
          <t>revenue</t>
        </is>
      </c>
      <c r="B193" t="inlineStr">
        <is>
          <t>Revenues</t>
        </is>
      </c>
      <c r="C193" t="inlineStr">
        <is>
          <t>us-gaap</t>
        </is>
      </c>
      <c r="D193" t="inlineStr">
        <is>
          <t>USD</t>
        </is>
      </c>
      <c r="E193" t="inlineStr">
        <is>
          <t>2022-01-01</t>
        </is>
      </c>
      <c r="F193" t="inlineStr">
        <is>
          <t>2022-12-31</t>
        </is>
      </c>
      <c r="G193" t="n">
        <v>13500000</v>
      </c>
      <c r="H193" t="n">
        <v>2024</v>
      </c>
      <c r="I193" t="inlineStr">
        <is>
          <t>FY</t>
        </is>
      </c>
      <c r="J193" t="inlineStr">
        <is>
          <t>20-F</t>
        </is>
      </c>
      <c r="K193" t="inlineStr">
        <is>
          <t>2025-04-30</t>
        </is>
      </c>
      <c r="L193" t="inlineStr">
        <is>
          <t>0001558370-25-005991</t>
        </is>
      </c>
      <c r="M193" t="inlineStr">
        <is>
          <t>CY2022</t>
        </is>
      </c>
    </row>
    <row r="194">
      <c r="A194" t="inlineStr">
        <is>
          <t>revenue</t>
        </is>
      </c>
      <c r="B194" t="inlineStr">
        <is>
          <t>Revenues</t>
        </is>
      </c>
      <c r="C194" t="inlineStr">
        <is>
          <t>us-gaap</t>
        </is>
      </c>
      <c r="D194" t="inlineStr">
        <is>
          <t>USD</t>
        </is>
      </c>
      <c r="E194" t="inlineStr">
        <is>
          <t>2023-01-01</t>
        </is>
      </c>
      <c r="F194" t="inlineStr">
        <is>
          <t>2023-12-31</t>
        </is>
      </c>
      <c r="G194" t="n">
        <v>8921200000</v>
      </c>
      <c r="H194" t="n">
        <v>2023</v>
      </c>
      <c r="I194" t="inlineStr">
        <is>
          <t>FY</t>
        </is>
      </c>
      <c r="J194" t="inlineStr">
        <is>
          <t>20-F</t>
        </is>
      </c>
      <c r="K194" t="inlineStr">
        <is>
          <t>2024-04-26</t>
        </is>
      </c>
      <c r="L194" t="inlineStr">
        <is>
          <t>0001558370-24-005891</t>
        </is>
      </c>
    </row>
    <row r="195">
      <c r="A195" t="inlineStr">
        <is>
          <t>revenue</t>
        </is>
      </c>
      <c r="B195" t="inlineStr">
        <is>
          <t>Revenues</t>
        </is>
      </c>
      <c r="C195" t="inlineStr">
        <is>
          <t>us-gaap</t>
        </is>
      </c>
      <c r="D195" t="inlineStr">
        <is>
          <t>USD</t>
        </is>
      </c>
      <c r="E195" t="inlineStr">
        <is>
          <t>2023-01-01</t>
        </is>
      </c>
      <c r="F195" t="inlineStr">
        <is>
          <t>2023-12-31</t>
        </is>
      </c>
      <c r="G195" t="n">
        <v>20900000</v>
      </c>
      <c r="H195" t="n">
        <v>2024</v>
      </c>
      <c r="I195" t="inlineStr">
        <is>
          <t>FY</t>
        </is>
      </c>
      <c r="J195" t="inlineStr">
        <is>
          <t>20-F</t>
        </is>
      </c>
      <c r="K195" t="inlineStr">
        <is>
          <t>2025-04-30</t>
        </is>
      </c>
      <c r="L195" t="inlineStr">
        <is>
          <t>0001558370-25-005991</t>
        </is>
      </c>
    </row>
    <row r="196">
      <c r="A196" t="inlineStr">
        <is>
          <t>revenue</t>
        </is>
      </c>
      <c r="B196" t="inlineStr">
        <is>
          <t>Revenues</t>
        </is>
      </c>
      <c r="C196" t="inlineStr">
        <is>
          <t>us-gaap</t>
        </is>
      </c>
      <c r="D196" t="inlineStr">
        <is>
          <t>USD</t>
        </is>
      </c>
      <c r="E196" t="inlineStr">
        <is>
          <t>2023-01-01</t>
        </is>
      </c>
      <c r="F196" t="inlineStr">
        <is>
          <t>2023-12-31</t>
        </is>
      </c>
      <c r="G196" t="n">
        <v>9800000</v>
      </c>
      <c r="H196" t="n">
        <v>2025</v>
      </c>
      <c r="I196" t="inlineStr">
        <is>
          <t>FY</t>
        </is>
      </c>
      <c r="J196" t="inlineStr">
        <is>
          <t>20-F</t>
        </is>
      </c>
      <c r="K196" t="inlineStr">
        <is>
          <t>2026-04-30</t>
        </is>
      </c>
      <c r="L196" t="inlineStr">
        <is>
          <t>0001104659-26-052948</t>
        </is>
      </c>
      <c r="M196" t="inlineStr">
        <is>
          <t>CY2023</t>
        </is>
      </c>
    </row>
    <row r="197">
      <c r="A197" t="inlineStr">
        <is>
          <t>revenue</t>
        </is>
      </c>
      <c r="B197" t="inlineStr">
        <is>
          <t>Revenues</t>
        </is>
      </c>
      <c r="C197" t="inlineStr">
        <is>
          <t>us-gaap</t>
        </is>
      </c>
      <c r="D197" t="inlineStr">
        <is>
          <t>USD</t>
        </is>
      </c>
      <c r="E197" t="inlineStr">
        <is>
          <t>2024-01-01</t>
        </is>
      </c>
      <c r="F197" t="inlineStr">
        <is>
          <t>2024-12-31</t>
        </is>
      </c>
      <c r="G197" t="n">
        <v>117500000</v>
      </c>
      <c r="H197" t="n">
        <v>2024</v>
      </c>
      <c r="I197" t="inlineStr">
        <is>
          <t>FY</t>
        </is>
      </c>
      <c r="J197" t="inlineStr">
        <is>
          <t>20-F</t>
        </is>
      </c>
      <c r="K197" t="inlineStr">
        <is>
          <t>2025-04-30</t>
        </is>
      </c>
      <c r="L197" t="inlineStr">
        <is>
          <t>0001558370-25-005991</t>
        </is>
      </c>
    </row>
    <row r="198">
      <c r="A198" t="inlineStr">
        <is>
          <t>revenue</t>
        </is>
      </c>
      <c r="B198" t="inlineStr">
        <is>
          <t>Revenues</t>
        </is>
      </c>
      <c r="C198" t="inlineStr">
        <is>
          <t>us-gaap</t>
        </is>
      </c>
      <c r="D198" t="inlineStr">
        <is>
          <t>USD</t>
        </is>
      </c>
      <c r="E198" t="inlineStr">
        <is>
          <t>2024-01-01</t>
        </is>
      </c>
      <c r="F198" t="inlineStr">
        <is>
          <t>2024-12-31</t>
        </is>
      </c>
      <c r="G198" t="n">
        <v>91500000</v>
      </c>
      <c r="H198" t="n">
        <v>2025</v>
      </c>
      <c r="I198" t="inlineStr">
        <is>
          <t>FY</t>
        </is>
      </c>
      <c r="J198" t="inlineStr">
        <is>
          <t>20-F</t>
        </is>
      </c>
      <c r="K198" t="inlineStr">
        <is>
          <t>2026-04-30</t>
        </is>
      </c>
      <c r="L198" t="inlineStr">
        <is>
          <t>0001104659-26-052948</t>
        </is>
      </c>
      <c r="M198" t="inlineStr">
        <is>
          <t>CY2024</t>
        </is>
      </c>
    </row>
    <row r="199">
      <c r="A199" t="inlineStr">
        <is>
          <t>revenue</t>
        </is>
      </c>
      <c r="B199" t="inlineStr">
        <is>
          <t>Revenues</t>
        </is>
      </c>
      <c r="C199" t="inlineStr">
        <is>
          <t>us-gaap</t>
        </is>
      </c>
      <c r="D199" t="inlineStr">
        <is>
          <t>USD</t>
        </is>
      </c>
      <c r="E199" t="inlineStr">
        <is>
          <t>2025-01-01</t>
        </is>
      </c>
      <c r="F199" t="inlineStr">
        <is>
          <t>2025-12-31</t>
        </is>
      </c>
      <c r="G199" t="n">
        <v>529800000</v>
      </c>
      <c r="H199" t="n">
        <v>2025</v>
      </c>
      <c r="I199" t="inlineStr">
        <is>
          <t>FY</t>
        </is>
      </c>
      <c r="J199" t="inlineStr">
        <is>
          <t>20-F</t>
        </is>
      </c>
      <c r="K199" t="inlineStr">
        <is>
          <t>2026-04-30</t>
        </is>
      </c>
      <c r="L199" t="inlineStr">
        <is>
          <t>0001104659-26-052948</t>
        </is>
      </c>
      <c r="M199" t="inlineStr">
        <is>
          <t>CY2025</t>
        </is>
      </c>
    </row>
    <row r="200">
      <c r="A200" t="inlineStr">
        <is>
          <t>shares_outstanding</t>
        </is>
      </c>
      <c r="B200" t="inlineStr">
        <is>
          <t>CommonStockSharesOutstanding</t>
        </is>
      </c>
      <c r="C200" t="inlineStr">
        <is>
          <t>us-gaap</t>
        </is>
      </c>
      <c r="D200" t="inlineStr">
        <is>
          <t>shares</t>
        </is>
      </c>
      <c r="F200" t="inlineStr">
        <is>
          <t>2024-12-31</t>
        </is>
      </c>
      <c r="G200" t="n">
        <v>235753600</v>
      </c>
      <c r="H200" t="n">
        <v>2024</v>
      </c>
      <c r="I200" t="inlineStr">
        <is>
          <t>FY</t>
        </is>
      </c>
      <c r="J200" t="inlineStr">
        <is>
          <t>20-F</t>
        </is>
      </c>
      <c r="K200" t="inlineStr">
        <is>
          <t>2025-04-30</t>
        </is>
      </c>
      <c r="L200" t="inlineStr">
        <is>
          <t>0001558370-25-005991</t>
        </is>
      </c>
      <c r="M200" t="inlineStr">
        <is>
          <t>CY2024Q4I</t>
        </is>
      </c>
    </row>
    <row r="201">
      <c r="A201" t="inlineStr">
        <is>
          <t>shares_outstanding</t>
        </is>
      </c>
      <c r="B201" t="inlineStr">
        <is>
          <t>CommonStockSharesOutstanding</t>
        </is>
      </c>
      <c r="C201" t="inlineStr">
        <is>
          <t>us-gaap</t>
        </is>
      </c>
      <c r="D201" t="inlineStr">
        <is>
          <t>shares</t>
        </is>
      </c>
      <c r="F201" t="inlineStr">
        <is>
          <t>2025-12-31</t>
        </is>
      </c>
      <c r="G201" t="n">
        <v>253016971</v>
      </c>
      <c r="H201" t="n">
        <v>2025</v>
      </c>
      <c r="I201" t="inlineStr">
        <is>
          <t>FY</t>
        </is>
      </c>
      <c r="J201" t="inlineStr">
        <is>
          <t>20-F</t>
        </is>
      </c>
      <c r="K201" t="inlineStr">
        <is>
          <t>2026-04-30</t>
        </is>
      </c>
      <c r="L201" t="inlineStr">
        <is>
          <t>0001104659-26-052948</t>
        </is>
      </c>
      <c r="M201" t="inlineStr">
        <is>
          <t>CY2025Q4I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4" customWidth="1" min="4" max="4"/>
    <col width="20" customWidth="1" min="5" max="5"/>
    <col width="24" customWidth="1" min="6" max="6"/>
    <col width="31" customWidth="1" min="7" max="7"/>
    <col width="27" customWidth="1" min="8" max="8"/>
  </cols>
  <sheetData>
    <row r="1">
      <c r="A1" s="10" t="inlineStr">
        <is>
          <t>index</t>
        </is>
      </c>
      <c r="B1" s="10" t="inlineStr">
        <is>
          <t>value</t>
        </is>
      </c>
      <c r="C1" s="10" t="inlineStr">
        <is>
          <t>arr_end_2026_usd_m</t>
        </is>
      </c>
      <c r="D1" s="10" t="inlineStr">
        <is>
          <t>external_funding_usd_m</t>
        </is>
      </c>
      <c r="E1" s="10" t="inlineStr">
        <is>
          <t>minimum_cash_usd_m</t>
        </is>
      </c>
      <c r="F1" s="10" t="inlineStr">
        <is>
          <t>net_debt_to_ebitda_end</t>
        </is>
      </c>
      <c r="G1" s="10" t="inlineStr">
        <is>
          <t>payback_net_of_prepayment_end</t>
        </is>
      </c>
      <c r="H1" s="10" t="inlineStr">
        <is>
          <t>revenue_final_year_usd_bn</t>
        </is>
      </c>
    </row>
    <row r="2">
      <c r="A2" t="inlineStr">
        <is>
          <t>base case</t>
        </is>
      </c>
      <c r="C2" t="n">
        <v>8600</v>
      </c>
      <c r="D2" t="n">
        <v>0</v>
      </c>
      <c r="E2" t="n">
        <v>2331.405852605007</v>
      </c>
      <c r="F2" t="n">
        <v>1.934573376311912</v>
      </c>
      <c r="G2" t="n">
        <v>2.529091591591591</v>
      </c>
      <c r="H2" t="n">
        <v>24.88163265306122</v>
      </c>
    </row>
    <row r="3">
      <c r="A3" t="inlineStr">
        <is>
          <t>active_power_mw_2026q2 = 250</t>
        </is>
      </c>
      <c r="B3" t="n">
        <v>250</v>
      </c>
      <c r="C3" t="n">
        <v>8600</v>
      </c>
      <c r="D3" t="n">
        <v>0</v>
      </c>
      <c r="E3" t="n">
        <v>2331.405852605007</v>
      </c>
      <c r="F3" t="n">
        <v>1.934573376311912</v>
      </c>
      <c r="G3" t="n">
        <v>2.471612237237237</v>
      </c>
      <c r="H3" t="n">
        <v>24.88163265306122</v>
      </c>
    </row>
    <row r="4">
      <c r="A4" t="inlineStr">
        <is>
          <t>active_power_mw_2026q2 = 400</t>
        </is>
      </c>
      <c r="B4" t="n">
        <v>400</v>
      </c>
      <c r="C4" t="n">
        <v>8600</v>
      </c>
      <c r="D4" t="n">
        <v>0</v>
      </c>
      <c r="E4" t="n">
        <v>2331.405852605007</v>
      </c>
      <c r="F4" t="n">
        <v>1.934573376311912</v>
      </c>
      <c r="G4" t="n">
        <v>2.6440503003003</v>
      </c>
      <c r="H4" t="n">
        <v>24.88163265306122</v>
      </c>
    </row>
    <row r="5">
      <c r="A5" t="inlineStr">
        <is>
          <t>mw_added_per_quarter = 150</t>
        </is>
      </c>
      <c r="B5" t="n">
        <v>150</v>
      </c>
      <c r="C5" t="n">
        <v>8600</v>
      </c>
      <c r="D5" t="n">
        <v>0</v>
      </c>
      <c r="E5" t="n">
        <v>3550.376042067852</v>
      </c>
      <c r="F5" t="n">
        <v>1.852526524148559</v>
      </c>
      <c r="G5" t="n">
        <v>2.550336527492585</v>
      </c>
      <c r="H5" t="n">
        <v>20.76734693877551</v>
      </c>
    </row>
    <row r="6">
      <c r="A6" t="inlineStr">
        <is>
          <t>mw_added_per_quarter = 300</t>
        </is>
      </c>
      <c r="B6" t="n">
        <v>300</v>
      </c>
      <c r="C6" t="n">
        <v>8600</v>
      </c>
      <c r="D6" t="n">
        <v>2224.939741253336</v>
      </c>
      <c r="E6" t="n">
        <v>2000</v>
      </c>
      <c r="F6" t="n">
        <v>1.908348056978604</v>
      </c>
      <c r="G6" t="n">
        <v>2.50329038514824</v>
      </c>
      <c r="H6" t="n">
        <v>33.11020408163265</v>
      </c>
    </row>
    <row r="7">
      <c r="A7" t="inlineStr">
        <is>
          <t>arr_per_new_mw_year_usd_m = 10</t>
        </is>
      </c>
      <c r="B7" t="n">
        <v>10</v>
      </c>
      <c r="C7" t="n">
        <v>7000</v>
      </c>
      <c r="D7" t="n">
        <v>3038.97007915886</v>
      </c>
      <c r="E7" t="n">
        <v>2000</v>
      </c>
      <c r="F7" t="n">
        <v>2.737246001683502</v>
      </c>
      <c r="G7" t="n">
        <v>3.402777777777778</v>
      </c>
      <c r="H7" t="n">
        <v>18.61224489795918</v>
      </c>
    </row>
    <row r="8">
      <c r="A8" t="inlineStr">
        <is>
          <t>arr_per_new_mw_year_usd_m = 22</t>
        </is>
      </c>
      <c r="B8" t="n">
        <v>22</v>
      </c>
      <c r="C8" t="n">
        <v>11800</v>
      </c>
      <c r="D8" t="n">
        <v>0</v>
      </c>
      <c r="E8" t="n">
        <v>4714.46836946547</v>
      </c>
      <c r="F8" t="n">
        <v>0.8384681236346562</v>
      </c>
      <c r="G8" t="n">
        <v>1.671006944444444</v>
      </c>
      <c r="H8" t="n">
        <v>37.42040816326531</v>
      </c>
    </row>
    <row r="9">
      <c r="A9" t="inlineStr">
        <is>
          <t>revenue_to_midpoint_arr = 0.9</t>
        </is>
      </c>
      <c r="B9" t="n">
        <v>0.9</v>
      </c>
      <c r="C9" t="n">
        <v>8600</v>
      </c>
      <c r="D9" t="n">
        <v>348.9042746737423</v>
      </c>
      <c r="E9" t="n">
        <v>2000</v>
      </c>
      <c r="F9" t="n">
        <v>2.129560851551169</v>
      </c>
      <c r="G9" t="n">
        <v>2.697697697697698</v>
      </c>
      <c r="H9" t="n">
        <v>23.32653061224489</v>
      </c>
    </row>
    <row r="10">
      <c r="A10" t="inlineStr">
        <is>
          <t>revenue_to_midpoint_arr = 1</t>
        </is>
      </c>
      <c r="B10" t="n">
        <v>1</v>
      </c>
      <c r="C10" t="n">
        <v>8600</v>
      </c>
      <c r="D10" t="n">
        <v>0</v>
      </c>
      <c r="E10" t="n">
        <v>2733.191566890722</v>
      </c>
      <c r="F10" t="n">
        <v>1.800467468286463</v>
      </c>
      <c r="G10" t="n">
        <v>2.427927927927928</v>
      </c>
      <c r="H10" t="n">
        <v>25.91836734693878</v>
      </c>
    </row>
    <row r="11">
      <c r="A11" t="inlineStr">
        <is>
          <t>ai_cloud_share_of_revenue = 0.95</t>
        </is>
      </c>
      <c r="B11" t="n">
        <v>0.95</v>
      </c>
      <c r="C11" t="n">
        <v>8600</v>
      </c>
      <c r="D11" t="n">
        <v>0</v>
      </c>
      <c r="E11" t="n">
        <v>2635.917130800497</v>
      </c>
      <c r="F11" t="n">
        <v>1.831941303843456</v>
      </c>
      <c r="G11" t="n">
        <v>2.45167042042042</v>
      </c>
      <c r="H11" t="n">
        <v>25.66736842105263</v>
      </c>
    </row>
    <row r="12">
      <c r="A12" t="inlineStr">
        <is>
          <t>ai_cloud_share_of_revenue = 1</t>
        </is>
      </c>
      <c r="B12" t="n">
        <v>1</v>
      </c>
      <c r="C12" t="n">
        <v>8600</v>
      </c>
      <c r="D12" t="n">
        <v>0</v>
      </c>
      <c r="E12" t="n">
        <v>2138.548709747864</v>
      </c>
      <c r="F12" t="n">
        <v>2.00299475795755</v>
      </c>
      <c r="G12" t="n">
        <v>2.580705705705705</v>
      </c>
      <c r="H12" t="n">
        <v>24.384</v>
      </c>
    </row>
    <row r="13">
      <c r="A13" t="inlineStr">
        <is>
          <t>adjusted_ebitda_margin = 0.35</t>
        </is>
      </c>
      <c r="B13" t="n">
        <v>0.35</v>
      </c>
      <c r="C13" t="n">
        <v>8600</v>
      </c>
      <c r="D13" t="n">
        <v>2808.76599752621</v>
      </c>
      <c r="E13" t="n">
        <v>2000</v>
      </c>
      <c r="F13" t="n">
        <v>2.615708051801802</v>
      </c>
      <c r="G13" t="n">
        <v>3.251689189189189</v>
      </c>
      <c r="H13" t="n">
        <v>24.88163265306122</v>
      </c>
    </row>
    <row r="14">
      <c r="A14" t="inlineStr">
        <is>
          <t>adjusted_ebitda_margin = 0.55</t>
        </is>
      </c>
      <c r="B14" t="n">
        <v>0.55</v>
      </c>
      <c r="C14" t="n">
        <v>8600</v>
      </c>
      <c r="D14" t="n">
        <v>0</v>
      </c>
      <c r="E14" t="n">
        <v>4017.436029338358</v>
      </c>
      <c r="F14" t="n">
        <v>1.325001067105324</v>
      </c>
      <c r="G14" t="n">
        <v>2.069256756756757</v>
      </c>
      <c r="H14" t="n">
        <v>24.88163265306122</v>
      </c>
    </row>
    <row r="15">
      <c r="A15" t="inlineStr">
        <is>
          <t>capex_per_mw_usd_m = 18</t>
        </is>
      </c>
      <c r="B15" t="n">
        <v>18</v>
      </c>
      <c r="C15" t="n">
        <v>8600</v>
      </c>
      <c r="D15" t="n">
        <v>0</v>
      </c>
      <c r="E15" t="n">
        <v>5272.781630448563</v>
      </c>
      <c r="F15" t="n">
        <v>1.074967338314399</v>
      </c>
      <c r="G15" t="n">
        <v>1.820945945945946</v>
      </c>
      <c r="H15" t="n">
        <v>24.88163265306122</v>
      </c>
    </row>
    <row r="16">
      <c r="A16" t="inlineStr">
        <is>
          <t>capex_per_mw_usd_m = 35</t>
        </is>
      </c>
      <c r="B16" t="n">
        <v>35</v>
      </c>
      <c r="C16" t="n">
        <v>8600</v>
      </c>
      <c r="D16" t="n">
        <v>6720.186302310181</v>
      </c>
      <c r="E16" t="n">
        <v>2000</v>
      </c>
      <c r="F16" t="n">
        <v>2.647552708958959</v>
      </c>
      <c r="G16" t="n">
        <v>3.540728228228228</v>
      </c>
      <c r="H16" t="n">
        <v>24.88163265306122</v>
      </c>
    </row>
    <row r="17">
      <c r="A17" t="inlineStr">
        <is>
          <t>prepayment_share_of_capex = 0.2</t>
        </is>
      </c>
      <c r="B17" t="n">
        <v>0.2</v>
      </c>
      <c r="C17" t="n">
        <v>8600</v>
      </c>
      <c r="D17" t="n">
        <v>6414.107963485019</v>
      </c>
      <c r="E17" t="n">
        <v>2000</v>
      </c>
      <c r="F17" t="n">
        <v>2.034439595845846</v>
      </c>
      <c r="G17" t="n">
        <v>3.372122122122122</v>
      </c>
      <c r="H17" t="n">
        <v>24.88163265306122</v>
      </c>
    </row>
    <row r="18">
      <c r="A18" t="inlineStr">
        <is>
          <t>prepayment_share_of_capex = 0.55</t>
        </is>
      </c>
      <c r="B18" t="n">
        <v>0.55</v>
      </c>
      <c r="C18" t="n">
        <v>8600</v>
      </c>
      <c r="D18" t="n">
        <v>0</v>
      </c>
      <c r="E18" t="n">
        <v>6198.606734848563</v>
      </c>
      <c r="F18" t="n">
        <v>1.490994927161221</v>
      </c>
      <c r="G18" t="n">
        <v>1.896818693693693</v>
      </c>
      <c r="H18" t="n">
        <v>24.88163265306122</v>
      </c>
    </row>
    <row r="19">
      <c r="A19" t="inlineStr">
        <is>
          <t>prepaid_revenue_recognised_share_per_quarter = 0.03</t>
        </is>
      </c>
      <c r="B19" t="n">
        <v>0.03</v>
      </c>
      <c r="C19" t="n">
        <v>8600</v>
      </c>
      <c r="D19" t="n">
        <v>0</v>
      </c>
      <c r="E19" t="n">
        <v>4096.771783946659</v>
      </c>
      <c r="F19" t="n">
        <v>1.682132262326544</v>
      </c>
      <c r="G19" t="n">
        <v>2.529091591591591</v>
      </c>
      <c r="H19" t="n">
        <v>24.88163265306122</v>
      </c>
    </row>
    <row r="20">
      <c r="A20" t="inlineStr">
        <is>
          <t>prepaid_revenue_recognised_share_per_quarter = 0.12</t>
        </is>
      </c>
      <c r="B20" t="n">
        <v>0.12</v>
      </c>
      <c r="C20" t="n">
        <v>8600</v>
      </c>
      <c r="D20" t="n">
        <v>3617.321806234756</v>
      </c>
      <c r="E20" t="n">
        <v>2000</v>
      </c>
      <c r="F20" t="n">
        <v>2.032790391171389</v>
      </c>
      <c r="G20" t="n">
        <v>2.529091591591591</v>
      </c>
      <c r="H20" t="n">
        <v>24.88163265306122</v>
      </c>
    </row>
    <row r="21">
      <c r="A21" t="inlineStr">
        <is>
          <t>other_operating_cash_share_of_capex = -0.2</t>
        </is>
      </c>
      <c r="B21" t="n">
        <v>-0.2</v>
      </c>
      <c r="C21" t="n">
        <v>8600</v>
      </c>
      <c r="D21" t="n">
        <v>3758.30389207087</v>
      </c>
      <c r="E21" t="n">
        <v>2000</v>
      </c>
      <c r="F21" t="n">
        <v>2.029735897096021</v>
      </c>
      <c r="G21" t="n">
        <v>2.529091591591591</v>
      </c>
      <c r="H21" t="n">
        <v>24.88163265306122</v>
      </c>
    </row>
    <row r="22">
      <c r="A22" t="inlineStr">
        <is>
          <t>other_operating_cash_share_of_capex = 0</t>
        </is>
      </c>
      <c r="B22" t="n">
        <v>0</v>
      </c>
      <c r="C22" t="n">
        <v>8600</v>
      </c>
      <c r="D22" t="n">
        <v>0</v>
      </c>
      <c r="E22" t="n">
        <v>5344.374804848561</v>
      </c>
      <c r="F22" t="n">
        <v>1.551377680616217</v>
      </c>
      <c r="G22" t="n">
        <v>2.529091591591591</v>
      </c>
      <c r="H22" t="n">
        <v>24.88163265306122</v>
      </c>
    </row>
    <row r="23">
      <c r="A23" t="inlineStr">
        <is>
          <t>cost_of_debt = 0.01</t>
        </is>
      </c>
      <c r="B23" t="n">
        <v>0.01</v>
      </c>
      <c r="C23" t="n">
        <v>8600</v>
      </c>
      <c r="D23" t="n">
        <v>0</v>
      </c>
      <c r="E23" t="n">
        <v>2599.705602605006</v>
      </c>
      <c r="F23" t="n">
        <v>1.899327611015366</v>
      </c>
      <c r="G23" t="n">
        <v>2.529091591591591</v>
      </c>
      <c r="H23" t="n">
        <v>24.88163265306122</v>
      </c>
    </row>
    <row r="24">
      <c r="A24" t="inlineStr">
        <is>
          <t>cost_of_debt = 0.05</t>
        </is>
      </c>
      <c r="B24" t="n">
        <v>0.05</v>
      </c>
      <c r="C24" t="n">
        <v>8600</v>
      </c>
      <c r="D24" t="n">
        <v>562.4115807961907</v>
      </c>
      <c r="E24" t="n">
        <v>2000</v>
      </c>
      <c r="F24" t="n">
        <v>1.997207932807449</v>
      </c>
      <c r="G24" t="n">
        <v>2.529091591591591</v>
      </c>
      <c r="H24" t="n">
        <v>24.88163265306122</v>
      </c>
    </row>
    <row r="25">
      <c r="A25" t="inlineStr">
        <is>
          <t>debt_share_of_capex = 0.2</t>
        </is>
      </c>
      <c r="B25" t="n">
        <v>0.2</v>
      </c>
      <c r="C25" t="n">
        <v>8600</v>
      </c>
      <c r="D25" t="n">
        <v>8450.679262832331</v>
      </c>
      <c r="E25" t="n">
        <v>2000</v>
      </c>
      <c r="F25" t="n">
        <v>1.268048204454455</v>
      </c>
      <c r="G25" t="n">
        <v>2.529091591591591</v>
      </c>
      <c r="H25" t="n">
        <v>24.88163265306122</v>
      </c>
    </row>
    <row r="26">
      <c r="A26" t="inlineStr">
        <is>
          <t>debt_share_of_capex = 0.8</t>
        </is>
      </c>
      <c r="B26" t="n">
        <v>0.8</v>
      </c>
      <c r="C26" t="n">
        <v>8600</v>
      </c>
      <c r="D26" t="n">
        <v>0</v>
      </c>
      <c r="E26" t="n">
        <v>8132.543173469388</v>
      </c>
      <c r="F26" t="n">
        <v>1.972318152337938</v>
      </c>
      <c r="G26" t="n">
        <v>2.529091591591591</v>
      </c>
      <c r="H26" t="n">
        <v>24.88163265306122</v>
      </c>
    </row>
    <row r="27">
      <c r="A27" t="inlineStr">
        <is>
          <t>minimum_cash_usd_bn = 1</t>
        </is>
      </c>
      <c r="B27" t="n">
        <v>1</v>
      </c>
      <c r="C27" t="n">
        <v>8600</v>
      </c>
      <c r="D27" t="n">
        <v>0</v>
      </c>
      <c r="E27" t="n">
        <v>2331.405852605007</v>
      </c>
      <c r="F27" t="n">
        <v>1.934573376311912</v>
      </c>
      <c r="G27" t="n">
        <v>2.529091591591591</v>
      </c>
      <c r="H27" t="n">
        <v>24.88163265306122</v>
      </c>
    </row>
    <row r="28">
      <c r="A28" t="inlineStr">
        <is>
          <t>minimum_cash_usd_bn = 4</t>
        </is>
      </c>
      <c r="B28" t="n">
        <v>4</v>
      </c>
      <c r="C28" t="n">
        <v>8600</v>
      </c>
      <c r="D28" t="n">
        <v>1668.594147394994</v>
      </c>
      <c r="E28" t="n">
        <v>4000</v>
      </c>
      <c r="F28" t="n">
        <v>1.806693757282954</v>
      </c>
      <c r="G28" t="n">
        <v>2.529091591591591</v>
      </c>
      <c r="H28" t="n">
        <v>24.88163265306122</v>
      </c>
    </row>
    <row r="29">
      <c r="A29" t="inlineStr">
        <is>
          <t>mw_added_2026q3 = 25</t>
        </is>
      </c>
      <c r="B29" t="n">
        <v>25</v>
      </c>
      <c r="C29" t="n">
        <v>8250</v>
      </c>
      <c r="D29" t="n">
        <v>0</v>
      </c>
      <c r="E29" t="n">
        <v>2353.849121626719</v>
      </c>
      <c r="F29" t="n">
        <v>1.943009884783294</v>
      </c>
      <c r="G29" t="n">
        <v>2.530270655270655</v>
      </c>
      <c r="H29" t="n">
        <v>24.53877551020408</v>
      </c>
    </row>
    <row r="30">
      <c r="A30" t="inlineStr">
        <is>
          <t>mw_added_2026q3 = 200</t>
        </is>
      </c>
      <c r="B30" t="n">
        <v>200</v>
      </c>
      <c r="C30" t="n">
        <v>10700</v>
      </c>
      <c r="D30" t="n">
        <v>0</v>
      </c>
      <c r="E30" t="n">
        <v>2182.074075667853</v>
      </c>
      <c r="F30" t="n">
        <v>1.887866523418304</v>
      </c>
      <c r="G30" t="n">
        <v>2.522563967753242</v>
      </c>
      <c r="H30" t="n">
        <v>26.93877551020408</v>
      </c>
    </row>
    <row r="31">
      <c r="A31" t="inlineStr">
        <is>
          <t>mw_added_2026q4 = 200</t>
        </is>
      </c>
      <c r="B31" t="n">
        <v>200</v>
      </c>
      <c r="C31" t="n">
        <v>6500</v>
      </c>
      <c r="D31" t="n">
        <v>0</v>
      </c>
      <c r="E31" t="n">
        <v>2553.740033334093</v>
      </c>
      <c r="F31" t="n">
        <v>1.97446700481743</v>
      </c>
      <c r="G31" t="n">
        <v>2.536616161616161</v>
      </c>
      <c r="H31" t="n">
        <v>22.82448979591836</v>
      </c>
    </row>
    <row r="32">
      <c r="A32" t="inlineStr">
        <is>
          <t>mw_added_2026q4 = 500</t>
        </is>
      </c>
      <c r="B32" t="n">
        <v>500</v>
      </c>
      <c r="C32" t="n">
        <v>10700</v>
      </c>
      <c r="D32" t="n">
        <v>0</v>
      </c>
      <c r="E32" t="n">
        <v>2028.412910639283</v>
      </c>
      <c r="F32" t="n">
        <v>1.899965338964854</v>
      </c>
      <c r="G32" t="n">
        <v>2.522563967753242</v>
      </c>
      <c r="H32" t="n">
        <v>26.93877551020408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ai-economics</dc:creator>
  <dc:title>Nebius Group N.V. (NBIS) operating model</dc:title>
  <dcterms:created xsi:type="dcterms:W3CDTF">2000-01-01T00:00:00Z</dcterms:created>
  <dcterms:modified xsi:type="dcterms:W3CDTF">2000-01-01T00:00:00Z</dcterms:modified>
</cp:coreProperties>
</file>