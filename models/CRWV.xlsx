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Drivers" sheetId="3" state="visible" r:id="rId3"/>
    <sheet name="Outputs" sheetId="4" state="visible" r:id="rId4"/>
    <sheet name="Reported" sheetId="5" state="visible" r:id="rId5"/>
  </sheets>
  <definedNames>
    <definedName name="in_chip_cost">Inputs!$B$2</definedName>
    <definedName name="in_power_draw_kw">Inputs!$B$3</definedName>
    <definedName name="in_pue">Inputs!$B$4</definedName>
    <definedName name="in_electricity_price_kwh">Inputs!$B$5</definedName>
    <definedName name="in_utilization">Inputs!$B$6</definedName>
    <definedName name="in_tokens_per_sec">Inputs!$B$7</definedName>
    <definedName name="in_price_per_m_tokens">Inputs!$B$8</definedName>
    <definedName name="in_depreciation_years">Inputs!$B$9</definedName>
    <definedName name="in_financing_rate">Inputs!$B$10</definedName>
    <definedName name="in_price_per_gpu_hour">Inputs!$B$11</definedName>
    <definedName name="in_facility_cost_per_kw_month">Inputs!$B$12</definedName>
    <definedName name="in_other_opex_per_gpu_hour">Inputs!$B$13</definedName>
    <definedName name="in_idle_power_share">Inputs!$B$14</definedName>
    <definedName name="in_residual_value_share">Inputs!$B$15</definedName>
    <definedName name="in_disclosed_cash_payback_years">Inputs!$B$16</definedName>
  </definedNames>
  <calcPr calcId="124519" fullCalcOnLoad="1"/>
</workbook>
</file>

<file path=xl/styles.xml><?xml version="1.0" encoding="utf-8"?>
<styleSheet xmlns="http://schemas.openxmlformats.org/spreadsheetml/2006/main">
  <numFmts count="3">
    <numFmt numFmtId="164" formatCode="0.0%"/>
    <numFmt numFmtId="165" formatCode="#,##0.00##"/>
    <numFmt numFmtId="166" formatCode="#,##0.0;(#,##0.0);&quot;-&quot;"/>
  </numFmts>
  <fonts count="9">
    <font>
      <name val="Calibri"/>
      <family val="2"/>
      <color theme="1"/>
      <sz val="11"/>
      <scheme val="minor"/>
    </font>
    <font>
      <b val="1"/>
    </font>
    <font>
      <color rgb="000000FF"/>
    </font>
    <font>
      <color rgb="00595959"/>
    </font>
    <font>
      <color rgb="00000000"/>
    </font>
    <font>
      <color rgb="00008000"/>
    </font>
    <font>
      <b val="1"/>
      <sz val="14"/>
    </font>
    <font>
      <i val="1"/>
    </font>
    <font>
      <i val="1"/>
      <color rgb="00666666"/>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21">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4" fillId="0" borderId="0" pivotButton="0" quotePrefix="0" xfId="0"/>
    <xf numFmtId="0" fontId="5" fillId="0" borderId="0" pivotButton="0" quotePrefix="0" xfId="0"/>
    <xf numFmtId="0" fontId="3" fillId="0" borderId="0" pivotButton="0" quotePrefix="0" xfId="0"/>
    <xf numFmtId="0" fontId="8" fillId="0" borderId="0" pivotButton="0" quotePrefix="0" xfId="0"/>
    <xf numFmtId="0" fontId="1" fillId="2" borderId="0" pivotButton="0" quotePrefix="0" xfId="0"/>
    <xf numFmtId="3" fontId="2" fillId="0" borderId="0" pivotButton="0" quotePrefix="0" xfId="0"/>
    <xf numFmtId="164" fontId="2" fillId="0" borderId="0" pivotButton="0" quotePrefix="0" xfId="0"/>
    <xf numFmtId="0" fontId="1" fillId="2" borderId="0" applyAlignment="1" pivotButton="0" quotePrefix="0" xfId="0">
      <alignment horizontal="right"/>
    </xf>
    <xf numFmtId="165" fontId="3" fillId="0" borderId="0" pivotButton="0" quotePrefix="0" xfId="0"/>
    <xf numFmtId="165" fontId="4" fillId="0" borderId="0" pivotButton="0" quotePrefix="0" xfId="0"/>
    <xf numFmtId="166" fontId="3" fillId="0" borderId="0" pivotButton="0" quotePrefix="0" xfId="0"/>
    <xf numFmtId="165" fontId="5" fillId="0" borderId="0" pivotButton="0" quotePrefix="0" xfId="0"/>
    <xf numFmtId="166" fontId="4" fillId="0" borderId="0" pivotButton="0" quotePrefix="0" xfId="0"/>
    <xf numFmtId="166" fontId="5" fillId="0" borderId="0" pivotButton="0" quotePrefix="0" xfId="0"/>
    <xf numFmtId="164"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6" customWidth="1" min="1" max="1"/>
    <col width="100" customWidth="1" min="2" max="2"/>
  </cols>
  <sheetData>
    <row r="1">
      <c r="A1" s="1" t="inlineStr">
        <is>
          <t>CoreWeave, Inc. (CRWV) operating model</t>
        </is>
      </c>
    </row>
    <row r="2">
      <c r="A2" s="2" t="inlineStr">
        <is>
          <t>Reported figures come from SEC EDGAR XBRL company facts; every assumption is on the Inputs sheet.</t>
        </is>
      </c>
    </row>
    <row r="4">
      <c r="A4" s="3" t="inlineStr">
        <is>
          <t>as_of</t>
        </is>
      </c>
      <c r="B4" t="inlineStr">
        <is>
          <t>2026-08-12</t>
        </is>
      </c>
    </row>
    <row r="5">
      <c r="A5" s="3" t="inlineStr">
        <is>
          <t>cik</t>
        </is>
      </c>
      <c r="B5" t="inlineStr">
        <is>
          <t>0001769628</t>
        </is>
      </c>
    </row>
    <row r="6">
      <c r="A6" s="3" t="inlineStr">
        <is>
          <t>layer</t>
        </is>
      </c>
      <c r="B6" t="inlineStr">
        <is>
          <t>neocloud</t>
        </is>
      </c>
    </row>
    <row r="8">
      <c r="A8" s="3" t="inlineStr">
        <is>
          <t>How to read this workbook</t>
        </is>
      </c>
    </row>
    <row r="9" ht="75" customHeight="1">
      <c r="A9" s="4" t="inlineStr">
        <is>
          <t>This workbook is a snapshot of a Python model. The Inputs sheet holds every assumption the model takes as given (blue numbers): change one there and the formulas on the other sheets follow when Excel recalculates. Drivers are the operating quantities that build up by period; Outputs are what the model concludes from them. Each line shows its unit in column B; period columns ending in A are reported actuals, E are estimates. Click any formula cell to trace it back to the driver or input it depends on.</t>
        </is>
      </c>
    </row>
    <row r="11">
      <c r="A11" s="3" t="inlineStr">
        <is>
          <t>Colour legend</t>
        </is>
      </c>
    </row>
    <row r="12">
      <c r="A12" s="5" t="inlineStr">
        <is>
          <t>1,234.5</t>
        </is>
      </c>
      <c r="B12" t="inlineStr">
        <is>
          <t>Blue: a hard-coded input or assumption. Edit these on the Inputs sheet.</t>
        </is>
      </c>
    </row>
    <row r="13">
      <c r="A13" s="6" t="inlineStr">
        <is>
          <t>=C5*C6</t>
        </is>
      </c>
      <c r="B13" t="inlineStr">
        <is>
          <t>Black: a formula calculated from cells on the same sheet.</t>
        </is>
      </c>
    </row>
    <row r="14">
      <c r="A14" s="7" t="inlineStr">
        <is>
          <t>=Drivers!C5</t>
        </is>
      </c>
      <c r="B14" t="inlineStr">
        <is>
          <t>Green: a formula that links to another sheet (Inputs, Drivers or Outputs).</t>
        </is>
      </c>
    </row>
    <row r="15">
      <c r="A15" s="8" t="inlineStr">
        <is>
          <t>1,234.5</t>
        </is>
      </c>
      <c r="B15" t="inlineStr">
        <is>
          <t>Grey: a value computed in Python and pasted (see the company module under companies/). It does not recalculate in Excel.</t>
        </is>
      </c>
    </row>
    <row r="17">
      <c r="A17" s="3" t="inlineStr">
        <is>
          <t>Sheets</t>
        </is>
      </c>
    </row>
    <row r="18">
      <c r="A18" s="3" t="inlineStr">
        <is>
          <t>Inputs</t>
        </is>
      </c>
      <c r="B18" t="inlineStr">
        <is>
          <t>One row per assumption: name, value, unit, source and note. Each value cell has the defined name in_&lt;name&gt; so formulas can refer to it by name.</t>
        </is>
      </c>
    </row>
    <row r="19">
      <c r="A19" s="3" t="inlineStr">
        <is>
          <t>Drivers</t>
        </is>
      </c>
      <c r="B19" t="inlineStr">
        <is>
          <t>Operating drivers by period (label, unit, then one column per period).</t>
        </is>
      </c>
    </row>
    <row r="20">
      <c r="A20" s="3" t="inlineStr">
        <is>
          <t>Outputs</t>
        </is>
      </c>
      <c r="B20" t="inlineStr">
        <is>
          <t>Model outputs by period, built from Drivers and Inputs.</t>
        </is>
      </c>
    </row>
    <row r="21">
      <c r="A21" s="3" t="inlineStr">
        <is>
          <t>Reported</t>
        </is>
      </c>
      <c r="B21" t="inlineStr">
        <is>
          <t>Reported facts pulled from SEC XBRL company facts, one row per fact.</t>
        </is>
      </c>
    </row>
    <row r="23">
      <c r="A23" s="9" t="inlineStr">
        <is>
          <t>Generated by ai-economics (https://github.com/Philbertcychan/ai-economics) via scripts/export_xlsx.py. Formulas recalculate when the file is opened in Excel.</t>
        </is>
      </c>
    </row>
  </sheetData>
  <mergeCells count="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2" customWidth="1" min="3" max="3"/>
    <col width="40" customWidth="1" min="4" max="4"/>
    <col width="60" customWidth="1" min="5" max="5"/>
  </cols>
  <sheetData>
    <row r="1">
      <c r="A1" s="10" t="inlineStr">
        <is>
          <t>Name</t>
        </is>
      </c>
      <c r="B1" s="10" t="inlineStr">
        <is>
          <t>Value</t>
        </is>
      </c>
      <c r="C1" s="10" t="inlineStr">
        <is>
          <t>Unit</t>
        </is>
      </c>
      <c r="D1" s="10" t="inlineStr">
        <is>
          <t>Source</t>
        </is>
      </c>
      <c r="E1" s="10" t="inlineStr">
        <is>
          <t>Note</t>
        </is>
      </c>
    </row>
    <row r="2">
      <c r="A2" t="inlineStr">
        <is>
          <t>chip_cost</t>
        </is>
      </c>
      <c r="B2" s="11" t="n">
        <v>36586</v>
      </c>
      <c r="C2" t="inlineStr">
        <is>
          <t>USD</t>
        </is>
      </c>
      <c r="D2" t="inlineStr">
        <is>
          <t>S-1 p.F-29, p.2</t>
        </is>
      </c>
      <c r="E2" t="inlineStr">
        <is>
          <t>[derived; proposed] Technology equipment, gross 9,146,575 thousand divided by more than 250,000 GPUs at Dec 31, 2024. A fleet average that includes servers and networking and excludes construction in progress. Compare with the model's capex per MW added (Outputs sheet), which is the same idea measured from cash flows.</t>
        </is>
      </c>
    </row>
    <row r="3">
      <c r="A3" t="inlineStr">
        <is>
          <t>power_draw_kw</t>
        </is>
      </c>
      <c r="B3" s="5" t="n">
        <v>1.44</v>
      </c>
      <c r="C3" t="inlineStr">
        <is>
          <t>kW</t>
        </is>
      </c>
      <c r="D3" t="inlineStr">
        <is>
          <t>S-1 p.2</t>
        </is>
      </c>
      <c r="E3" t="inlineStr">
        <is>
          <t>[derived; proposed] More than 360 MW of active power divided by more than 250,000 GPUs at Dec 31, 2024. Facility-level power per GPU, so cooling and non-GPU load are already inside it. This is the ONE assumption that converts disclosed MW into GPU counts; every per-GPU line scales with it, the per-MW lines do not use it.</t>
        </is>
      </c>
    </row>
    <row r="4">
      <c r="A4" t="inlineStr">
        <is>
          <t>pue</t>
        </is>
      </c>
      <c r="B4" s="5" t="n">
        <v>1</v>
      </c>
      <c r="C4" t="inlineStr">
        <is>
          <t>ratio</t>
        </is>
      </c>
      <c r="D4" t="inlineStr"/>
      <c r="E4" t="inlineStr">
        <is>
          <t>[judgment; proposed] Set to 1.0 because power_draw_kw is measured at the facility meter. Using a PUE above 1 on top of it would count cooling twice.</t>
        </is>
      </c>
    </row>
    <row r="5">
      <c r="A5" t="inlineStr">
        <is>
          <t>electricity_price_kwh</t>
        </is>
      </c>
      <c r="B5" s="5" t="n">
        <v>0</v>
      </c>
      <c r="C5" t="inlineStr">
        <is>
          <t>USD/kWh</t>
        </is>
      </c>
      <c r="D5" t="inlineStr"/>
      <c r="E5" t="inlineStr">
        <is>
          <t>[judgment; proposed] Zero on purpose. Energy is inside other_opex_per_gpu_hour until an external source lets it be split out.</t>
        </is>
      </c>
    </row>
    <row r="6">
      <c r="A6" t="inlineStr">
        <is>
          <t>utilization</t>
        </is>
      </c>
      <c r="B6" s="12" t="n">
        <v>1</v>
      </c>
      <c r="C6" t="inlineStr">
        <is>
          <t>share</t>
        </is>
      </c>
      <c r="D6" t="inlineStr"/>
      <c r="E6" t="inlineStr">
        <is>
          <t>[judgment; proposed] Set to 1.0 because the model measures revenue per INSTALLED GPU-hour (quarterly revenue over average installed capacity). Idle and not-yet-billing GPUs are already inside that figure. Only used by the per-GPU lines.</t>
        </is>
      </c>
    </row>
    <row r="7">
      <c r="A7" t="inlineStr">
        <is>
          <t>tokens_per_sec</t>
        </is>
      </c>
      <c r="B7" s="5" t="n">
        <v>0</v>
      </c>
      <c r="C7" t="inlineStr">
        <is>
          <t>tokens/s</t>
        </is>
      </c>
      <c r="D7" t="inlineStr"/>
      <c r="E7" t="inlineStr">
        <is>
          <t>[judgment; proposed] Not applicable. CoreWeave sells GPU-hours and not tokens (S-1 p.95).</t>
        </is>
      </c>
    </row>
    <row r="8">
      <c r="A8" t="inlineStr">
        <is>
          <t>price_per_m_tokens</t>
        </is>
      </c>
      <c r="B8" s="5" t="n">
        <v>0</v>
      </c>
      <c r="C8" t="inlineStr">
        <is>
          <t>USD/M tokens</t>
        </is>
      </c>
      <c r="D8" t="inlineStr"/>
      <c r="E8" t="inlineStr">
        <is>
          <t>[judgment; proposed] Not applicable. See tokens_per_sec.</t>
        </is>
      </c>
    </row>
    <row r="9">
      <c r="A9" t="inlineStr">
        <is>
          <t>depreciation_years</t>
        </is>
      </c>
      <c r="B9" s="5" t="n">
        <v>6</v>
      </c>
      <c r="C9" t="inlineStr">
        <is>
          <t>years</t>
        </is>
      </c>
      <c r="D9" t="inlineStr">
        <is>
          <t>S-1 p.F-16, p.F-15</t>
        </is>
      </c>
      <c r="E9" t="inlineStr">
        <is>
          <t>[disclosed; proposed; range 4 to 6] Accounting life of technology equipment. It was raised from five to six years on Jan 1, 2023. The economic life may be shorter if new GPU generations push rental prices down (risk factors p.33, p.44), which is why the low end is 4.</t>
        </is>
      </c>
    </row>
    <row r="10">
      <c r="A10" t="inlineStr">
        <is>
          <t>financing_rate</t>
        </is>
      </c>
      <c r="B10" s="12" t="n">
        <v>0.11</v>
      </c>
      <c r="C10" t="inlineStr">
        <is>
          <t>decimal</t>
        </is>
      </c>
      <c r="D10" t="inlineStr">
        <is>
          <t>S-1 p.F-34, p.F-41, p.F-39</t>
        </is>
      </c>
      <c r="E10" t="inlineStr">
        <is>
          <t>[disclosed; proposed; range 0.105 to 0.15] Effective rate on DDTL 2.0, the facility that funds new GPUs. Low is the actual average rate charged on DDTL 2.0 (10.53%). High is the effective rate on the older DDTL 1.0 (15%). Debt only; equity would want more.</t>
        </is>
      </c>
    </row>
    <row r="11">
      <c r="A11" t="inlineStr">
        <is>
          <t>price_per_gpu_hour</t>
        </is>
      </c>
      <c r="B11" s="5" t="n">
        <v>0</v>
      </c>
      <c r="C11" t="inlineStr">
        <is>
          <t>USD/GPU-hour</t>
        </is>
      </c>
      <c r="D11" t="inlineStr"/>
      <c r="E11" t="inlineStr">
        <is>
          <t>[judgment; proposed] Not used: the model computes revenue per installed GPU-hour for each quarter from reported revenue and disclosed capacity (see the Outputs sheet). Kept at 0 so the engine's rental mode has a defined input.</t>
        </is>
      </c>
    </row>
    <row r="12">
      <c r="A12" t="inlineStr">
        <is>
          <t>facility_cost_per_kw_month</t>
        </is>
      </c>
      <c r="B12" s="5" t="n">
        <v>0</v>
      </c>
      <c r="C12" t="inlineStr">
        <is>
          <t>USD/kW-month</t>
        </is>
      </c>
      <c r="D12" t="inlineStr"/>
      <c r="E12" t="inlineStr">
        <is>
          <t>[judgment; proposed] Zero on purpose. Data-centre leases are inside other_opex_per_gpu_hour until they can be split out.</t>
        </is>
      </c>
    </row>
    <row r="13">
      <c r="A13" t="inlineStr">
        <is>
          <t>other_opex_per_gpu_hour</t>
        </is>
      </c>
      <c r="B13" s="5" t="n">
        <v>0</v>
      </c>
      <c r="C13" t="inlineStr">
        <is>
          <t>USD/GPU-hour</t>
        </is>
      </c>
      <c r="D13" t="inlineStr"/>
      <c r="E13" t="inlineStr">
        <is>
          <t>[judgment; proposed] Not used: each quarter's cash cost per GPU-hour is revenue less adjusted EBITDA over installed GPU-hours, computed by the model. Kept at 0.</t>
        </is>
      </c>
    </row>
    <row r="14">
      <c r="A14" t="inlineStr">
        <is>
          <t>idle_power_share</t>
        </is>
      </c>
      <c r="B14" s="12" t="n">
        <v>1</v>
      </c>
      <c r="C14" t="inlineStr">
        <is>
          <t>share</t>
        </is>
      </c>
      <c r="D14" t="inlineStr"/>
      <c r="E14" t="inlineStr">
        <is>
          <t>[judgment; proposed] No effect while electricity_price_kwh is zero.</t>
        </is>
      </c>
    </row>
    <row r="15">
      <c r="A15" t="inlineStr">
        <is>
          <t>residual_value_share</t>
        </is>
      </c>
      <c r="B15" s="12" t="n">
        <v>0</v>
      </c>
      <c r="C15" t="inlineStr">
        <is>
          <t>share</t>
        </is>
      </c>
      <c r="D15" t="inlineStr"/>
      <c r="E15" t="inlineStr">
        <is>
          <t>[judgment; proposed; range 0 to 0.2] Cautious default. The S-1 gives no resale or redeployment value for retired GPUs.</t>
        </is>
      </c>
    </row>
    <row r="16">
      <c r="A16" t="inlineStr">
        <is>
          <t>disclosed_cash_payback_years</t>
        </is>
      </c>
      <c r="B16" s="5" t="n">
        <v>2.5</v>
      </c>
      <c r="C16" t="inlineStr">
        <is>
          <t>years</t>
        </is>
      </c>
      <c r="D16" t="inlineStr">
        <is>
          <t>S-1 p.97</t>
        </is>
      </c>
      <c r="E16" t="inlineStr">
        <is>
          <t>[disclosed; proposed] Not an input. The company's own average cash payback on committed contracts at Dec 31, 2024, measured per GPU through adjusted EBITDA and net of customer prepayments. Shown beside the model's payback as a check.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Line item</t>
        </is>
      </c>
      <c r="B1" s="10" t="inlineStr">
        <is>
          <t>Unit</t>
        </is>
      </c>
      <c r="C1" s="13" t="inlineStr">
        <is>
          <t>2025Q1</t>
        </is>
      </c>
      <c r="D1" s="13" t="inlineStr">
        <is>
          <t>2025Q2</t>
        </is>
      </c>
      <c r="E1" s="13" t="inlineStr">
        <is>
          <t>2025Q3</t>
        </is>
      </c>
      <c r="F1" s="13" t="inlineStr">
        <is>
          <t>2025Q4</t>
        </is>
      </c>
      <c r="G1" s="13" t="inlineStr">
        <is>
          <t>2026Q1</t>
        </is>
      </c>
      <c r="H1" s="13" t="inlineStr">
        <is>
          <t>2026Q2</t>
        </is>
      </c>
    </row>
    <row r="2">
      <c r="A2" t="inlineStr">
        <is>
          <t>Active power, end of quarter</t>
        </is>
      </c>
      <c r="B2" t="inlineStr">
        <is>
          <t>MW</t>
        </is>
      </c>
      <c r="C2" s="14" t="n">
        <v>420</v>
      </c>
      <c r="D2" s="14" t="n">
        <v>470</v>
      </c>
      <c r="E2" s="14" t="n">
        <v>590</v>
      </c>
      <c r="F2" s="14" t="n">
        <v>850</v>
      </c>
      <c r="G2" s="14" t="n">
        <v>1000</v>
      </c>
      <c r="H2" s="14" t="n">
        <v>1500</v>
      </c>
    </row>
    <row r="3">
      <c r="A3" t="inlineStr">
        <is>
          <t>Active power added</t>
        </is>
      </c>
      <c r="B3" t="inlineStr">
        <is>
          <t>MW</t>
        </is>
      </c>
      <c r="C3" s="14" t="n">
        <v>60</v>
      </c>
      <c r="D3" s="15">
        <f>D2-C2</f>
        <v/>
      </c>
      <c r="E3" s="15">
        <f>E2-D2</f>
        <v/>
      </c>
      <c r="F3" s="15">
        <f>F2-E2</f>
        <v/>
      </c>
      <c r="G3" s="15">
        <f>G2-F2</f>
        <v/>
      </c>
      <c r="H3" s="15">
        <f>H2-G2</f>
        <v/>
      </c>
    </row>
    <row r="4">
      <c r="A4" t="inlineStr">
        <is>
          <t>Active power, average</t>
        </is>
      </c>
      <c r="B4" t="inlineStr">
        <is>
          <t>MW</t>
        </is>
      </c>
      <c r="C4" s="14" t="n">
        <v>390</v>
      </c>
      <c r="D4" s="15">
        <f>(C2+D2)/2</f>
        <v/>
      </c>
      <c r="E4" s="15">
        <f>(D2+E2)/2</f>
        <v/>
      </c>
      <c r="F4" s="15">
        <f>(E2+F2)/2</f>
        <v/>
      </c>
      <c r="G4" s="15">
        <f>(F2+G2)/2</f>
        <v/>
      </c>
      <c r="H4" s="15">
        <f>(G2+H2)/2</f>
        <v/>
      </c>
    </row>
    <row r="5">
      <c r="A5" t="inlineStr">
        <is>
          <t>Contracted power</t>
        </is>
      </c>
      <c r="B5" t="inlineStr">
        <is>
          <t>GW</t>
        </is>
      </c>
      <c r="C5" s="14" t="n">
        <v>1.6</v>
      </c>
      <c r="D5" s="14" t="n">
        <v>2.2</v>
      </c>
      <c r="E5" s="14" t="n">
        <v>2.9</v>
      </c>
      <c r="F5" s="14" t="n">
        <v>3.1</v>
      </c>
      <c r="G5" s="14" t="n">
        <v>3.5</v>
      </c>
      <c r="H5" s="14" t="n">
        <v>3.7</v>
      </c>
    </row>
    <row r="6">
      <c r="A6" t="inlineStr">
        <is>
          <t>Revenue backlog</t>
        </is>
      </c>
      <c r="B6" t="inlineStr">
        <is>
          <t>USD bn</t>
        </is>
      </c>
      <c r="C6" s="16" t="n">
        <v>25.9</v>
      </c>
      <c r="D6" s="16" t="n">
        <v>30.1</v>
      </c>
      <c r="E6" s="16" t="n">
        <v>55.6</v>
      </c>
      <c r="F6" s="16" t="n">
        <v>66.8</v>
      </c>
      <c r="G6" s="16" t="n">
        <v>99.40000000000001</v>
      </c>
      <c r="H6" s="16" t="n">
        <v>104</v>
      </c>
    </row>
    <row r="7">
      <c r="A7" t="inlineStr">
        <is>
          <t>Hours in the quarter</t>
        </is>
      </c>
      <c r="B7" t="inlineStr">
        <is>
          <t>hours</t>
        </is>
      </c>
      <c r="C7" s="14" t="n">
        <v>2160</v>
      </c>
      <c r="D7" s="14" t="n">
        <v>2184</v>
      </c>
      <c r="E7" s="14" t="n">
        <v>2208</v>
      </c>
      <c r="F7" s="14" t="n">
        <v>2208</v>
      </c>
      <c r="G7" s="14" t="n">
        <v>2160</v>
      </c>
      <c r="H7" s="14" t="n">
        <v>2184</v>
      </c>
    </row>
    <row r="8">
      <c r="A8" t="inlineStr">
        <is>
          <t>GPUs installed, average (from MW and kW per GPU)</t>
        </is>
      </c>
      <c r="B8" t="inlineStr">
        <is>
          <t>GPUs</t>
        </is>
      </c>
      <c r="C8" s="17">
        <f>C4*1000/in_power_draw_kw</f>
        <v/>
      </c>
      <c r="D8" s="17">
        <f>D4*1000/in_power_draw_kw</f>
        <v/>
      </c>
      <c r="E8" s="17">
        <f>E4*1000/in_power_draw_kw</f>
        <v/>
      </c>
      <c r="F8" s="17">
        <f>F4*1000/in_power_draw_kw</f>
        <v/>
      </c>
      <c r="G8" s="17">
        <f>G4*1000/in_power_draw_kw</f>
        <v/>
      </c>
      <c r="H8" s="17">
        <f>H4*1000/in_power_draw_kw</f>
        <v/>
      </c>
    </row>
    <row r="9">
      <c r="A9" t="inlineStr">
        <is>
          <t>Installed GPU-hours</t>
        </is>
      </c>
      <c r="B9" t="inlineStr">
        <is>
          <t>millions</t>
        </is>
      </c>
      <c r="C9" s="15">
        <f>C8*C7/1000000</f>
        <v/>
      </c>
      <c r="D9" s="15">
        <f>D8*D7/1000000</f>
        <v/>
      </c>
      <c r="E9" s="15">
        <f>E8*E7/1000000</f>
        <v/>
      </c>
      <c r="F9" s="15">
        <f>F8*F7/1000000</f>
        <v/>
      </c>
      <c r="G9" s="15">
        <f>G8*G7/1000000</f>
        <v/>
      </c>
      <c r="H9" s="15">
        <f>H8*H7/1000000</f>
        <v/>
      </c>
    </row>
    <row r="10">
      <c r="A10" t="inlineStr">
        <is>
          <t>Revenue</t>
        </is>
      </c>
      <c r="B10" t="inlineStr">
        <is>
          <t>USD m</t>
        </is>
      </c>
      <c r="C10" s="16" t="n">
        <v>982</v>
      </c>
      <c r="D10" s="16" t="n">
        <v>1212</v>
      </c>
      <c r="E10" s="16" t="n">
        <v>1364.676</v>
      </c>
      <c r="F10" s="16" t="n">
        <v>1571.904</v>
      </c>
      <c r="G10" s="16" t="n">
        <v>2078</v>
      </c>
      <c r="H10" s="16" t="n">
        <v>2575</v>
      </c>
    </row>
    <row r="11">
      <c r="A11" t="inlineStr">
        <is>
          <t>Adjusted EBITDA</t>
        </is>
      </c>
      <c r="B11" t="inlineStr">
        <is>
          <t>USD m</t>
        </is>
      </c>
      <c r="C11" s="16" t="n">
        <v>606.131</v>
      </c>
      <c r="D11" s="16" t="n">
        <v>753.169</v>
      </c>
      <c r="E11" s="16" t="n">
        <v>838.124</v>
      </c>
      <c r="F11" s="16" t="n">
        <v>898</v>
      </c>
      <c r="G11" s="16" t="n">
        <v>1157</v>
      </c>
      <c r="H11" s="16" t="n">
        <v>1510</v>
      </c>
    </row>
    <row r="12">
      <c r="A12" t="inlineStr">
        <is>
          <t>Capital expenditure</t>
        </is>
      </c>
      <c r="B12" t="inlineStr">
        <is>
          <t>USD m</t>
        </is>
      </c>
      <c r="C12" s="16" t="n">
        <v>1407</v>
      </c>
      <c r="D12" s="16" t="n">
        <v>2453</v>
      </c>
      <c r="E12" s="16" t="n">
        <v>2389.239</v>
      </c>
      <c r="F12" s="16" t="n">
        <v>4059.761</v>
      </c>
      <c r="G12" s="16" t="n">
        <v>7695</v>
      </c>
      <c r="H12" s="16" t="n">
        <v>6422</v>
      </c>
    </row>
    <row r="13">
      <c r="A13" t="inlineStr">
        <is>
          <t>Capital expenditure, cumulative</t>
        </is>
      </c>
      <c r="B13" t="inlineStr">
        <is>
          <t>USD m</t>
        </is>
      </c>
      <c r="C13" s="16" t="n">
        <v>1407</v>
      </c>
      <c r="D13" s="18">
        <f>C13+D12</f>
        <v/>
      </c>
      <c r="E13" s="18">
        <f>D13+E12</f>
        <v/>
      </c>
      <c r="F13" s="18">
        <f>E13+F12</f>
        <v/>
      </c>
      <c r="G13" s="18">
        <f>F13+G12</f>
        <v/>
      </c>
      <c r="H13" s="18">
        <f>G13+H12</f>
        <v/>
      </c>
    </row>
    <row r="14">
      <c r="A14" t="inlineStr">
        <is>
          <t>Active power added, cumulative</t>
        </is>
      </c>
      <c r="B14" t="inlineStr">
        <is>
          <t>MW</t>
        </is>
      </c>
      <c r="C14" s="14" t="n">
        <v>60</v>
      </c>
      <c r="D14" s="15">
        <f>C14+D3</f>
        <v/>
      </c>
      <c r="E14" s="15">
        <f>D14+E3</f>
        <v/>
      </c>
      <c r="F14" s="15">
        <f>E14+F3</f>
        <v/>
      </c>
      <c r="G14" s="15">
        <f>F14+G3</f>
        <v/>
      </c>
      <c r="H14" s="15">
        <f>G14+H3</f>
        <v/>
      </c>
    </row>
    <row r="15">
      <c r="A15" t="inlineStr">
        <is>
          <t>Capital recovery factor (share of price due each year)</t>
        </is>
      </c>
      <c r="B15" t="inlineStr">
        <is>
          <t>ratio</t>
        </is>
      </c>
      <c r="C15" s="17">
        <f>IF(in_financing_rate=0,1/in_depreciation_years,in_financing_rate/(1-(1+in_financing_rate)^-in_depreciation_years))</f>
        <v/>
      </c>
      <c r="D15" s="17">
        <f>IF(in_financing_rate=0,1/in_depreciation_years,in_financing_rate/(1-(1+in_financing_rate)^-in_depreciation_years))</f>
        <v/>
      </c>
      <c r="E15" s="17">
        <f>IF(in_financing_rate=0,1/in_depreciation_years,in_financing_rate/(1-(1+in_financing_rate)^-in_depreciation_years))</f>
        <v/>
      </c>
      <c r="F15" s="17">
        <f>IF(in_financing_rate=0,1/in_depreciation_years,in_financing_rate/(1-(1+in_financing_rate)^-in_depreciation_years))</f>
        <v/>
      </c>
      <c r="G15" s="17">
        <f>IF(in_financing_rate=0,1/in_depreciation_years,in_financing_rate/(1-(1+in_financing_rate)^-in_depreciation_years))</f>
        <v/>
      </c>
      <c r="H15" s="17">
        <f>IF(in_financing_rate=0,1/in_depreciation_years,in_financing_rate/(1-(1+in_financing_rate)^-in_depreciation_years))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Line item</t>
        </is>
      </c>
      <c r="B1" s="10" t="inlineStr">
        <is>
          <t>Unit</t>
        </is>
      </c>
      <c r="C1" s="13" t="inlineStr">
        <is>
          <t>2025Q1</t>
        </is>
      </c>
      <c r="D1" s="13" t="inlineStr">
        <is>
          <t>2025Q2</t>
        </is>
      </c>
      <c r="E1" s="13" t="inlineStr">
        <is>
          <t>2025Q3</t>
        </is>
      </c>
      <c r="F1" s="13" t="inlineStr">
        <is>
          <t>2025Q4</t>
        </is>
      </c>
      <c r="G1" s="13" t="inlineStr">
        <is>
          <t>2026Q1</t>
        </is>
      </c>
      <c r="H1" s="13" t="inlineStr">
        <is>
          <t>2026Q2</t>
        </is>
      </c>
    </row>
    <row r="2">
      <c r="A2" t="inlineStr">
        <is>
          <t>Revenue per MW, annualised</t>
        </is>
      </c>
      <c r="B2" t="inlineStr">
        <is>
          <t>USD m</t>
        </is>
      </c>
      <c r="C2" s="19">
        <f>Drivers!C10*4/Drivers!C4</f>
        <v/>
      </c>
      <c r="D2" s="19">
        <f>Drivers!D10*4/Drivers!D4</f>
        <v/>
      </c>
      <c r="E2" s="19">
        <f>Drivers!E10*4/Drivers!E4</f>
        <v/>
      </c>
      <c r="F2" s="19">
        <f>Drivers!F10*4/Drivers!F4</f>
        <v/>
      </c>
      <c r="G2" s="19">
        <f>Drivers!G10*4/Drivers!G4</f>
        <v/>
      </c>
      <c r="H2" s="19">
        <f>Drivers!H10*4/Drivers!H4</f>
        <v/>
      </c>
    </row>
    <row r="3">
      <c r="A3" t="inlineStr">
        <is>
          <t>Adjusted EBITDA per MW, annualised</t>
        </is>
      </c>
      <c r="B3" t="inlineStr">
        <is>
          <t>USD m</t>
        </is>
      </c>
      <c r="C3" s="19">
        <f>Drivers!C11*4/Drivers!C4</f>
        <v/>
      </c>
      <c r="D3" s="19">
        <f>Drivers!D11*4/Drivers!D4</f>
        <v/>
      </c>
      <c r="E3" s="19">
        <f>Drivers!E11*4/Drivers!E4</f>
        <v/>
      </c>
      <c r="F3" s="19">
        <f>Drivers!F11*4/Drivers!F4</f>
        <v/>
      </c>
      <c r="G3" s="19">
        <f>Drivers!G11*4/Drivers!G4</f>
        <v/>
      </c>
      <c r="H3" s="19">
        <f>Drivers!H11*4/Drivers!H4</f>
        <v/>
      </c>
    </row>
    <row r="4">
      <c r="A4" t="inlineStr">
        <is>
          <t>Adjusted EBITDA margin</t>
        </is>
      </c>
      <c r="B4" t="inlineStr">
        <is>
          <t>%</t>
        </is>
      </c>
      <c r="C4" s="20">
        <f>Drivers!C11/Drivers!C10</f>
        <v/>
      </c>
      <c r="D4" s="20">
        <f>Drivers!D11/Drivers!D10</f>
        <v/>
      </c>
      <c r="E4" s="20">
        <f>Drivers!E11/Drivers!E10</f>
        <v/>
      </c>
      <c r="F4" s="20">
        <f>Drivers!F11/Drivers!F10</f>
        <v/>
      </c>
      <c r="G4" s="20">
        <f>Drivers!G11/Drivers!G10</f>
        <v/>
      </c>
      <c r="H4" s="20">
        <f>Drivers!H11/Drivers!H10</f>
        <v/>
      </c>
    </row>
    <row r="5">
      <c r="A5" t="inlineStr">
        <is>
          <t>Capex per MW added, cumulative since the first quarter</t>
        </is>
      </c>
      <c r="B5" t="inlineStr">
        <is>
          <t>USD m</t>
        </is>
      </c>
      <c r="C5" s="19">
        <f>Drivers!C13/Drivers!C14</f>
        <v/>
      </c>
      <c r="D5" s="19">
        <f>Drivers!D13/Drivers!D14</f>
        <v/>
      </c>
      <c r="E5" s="19">
        <f>Drivers!E13/Drivers!E14</f>
        <v/>
      </c>
      <c r="F5" s="19">
        <f>Drivers!F13/Drivers!F14</f>
        <v/>
      </c>
      <c r="G5" s="19">
        <f>Drivers!G13/Drivers!G14</f>
        <v/>
      </c>
      <c r="H5" s="19">
        <f>Drivers!H13/Drivers!H14</f>
        <v/>
      </c>
    </row>
    <row r="6">
      <c r="A6" t="inlineStr">
        <is>
          <t>Payback per MW: capex per MW / EBITDA per MW</t>
        </is>
      </c>
      <c r="B6" t="inlineStr">
        <is>
          <t>years</t>
        </is>
      </c>
      <c r="C6" s="15">
        <f>C5/C3</f>
        <v/>
      </c>
      <c r="D6" s="15">
        <f>D5/D3</f>
        <v/>
      </c>
      <c r="E6" s="15">
        <f>E5/E3</f>
        <v/>
      </c>
      <c r="F6" s="15">
        <f>F5/F3</f>
        <v/>
      </c>
      <c r="G6" s="15">
        <f>G5/G3</f>
        <v/>
      </c>
      <c r="H6" s="15">
        <f>H5/H3</f>
        <v/>
      </c>
    </row>
    <row r="7">
      <c r="A7" t="inlineStr">
        <is>
          <t>Backlog, years of current revenue</t>
        </is>
      </c>
      <c r="B7" t="inlineStr">
        <is>
          <t>years</t>
        </is>
      </c>
      <c r="C7" s="17">
        <f>Drivers!C6*1000/(Drivers!C10*4)</f>
        <v/>
      </c>
      <c r="D7" s="17">
        <f>Drivers!D6*1000/(Drivers!D10*4)</f>
        <v/>
      </c>
      <c r="E7" s="17">
        <f>Drivers!E6*1000/(Drivers!E10*4)</f>
        <v/>
      </c>
      <c r="F7" s="17">
        <f>Drivers!F6*1000/(Drivers!F10*4)</f>
        <v/>
      </c>
      <c r="G7" s="17">
        <f>Drivers!G6*1000/(Drivers!G10*4)</f>
        <v/>
      </c>
      <c r="H7" s="17">
        <f>Drivers!H6*1000/(Drivers!H10*4)</f>
        <v/>
      </c>
    </row>
    <row r="8">
      <c r="A8" t="inlineStr">
        <is>
          <t>Revenue per installed GPU-hour</t>
        </is>
      </c>
      <c r="B8" t="inlineStr">
        <is>
          <t>USD/GPU-hour</t>
        </is>
      </c>
      <c r="C8" s="17">
        <f>Drivers!C10/Drivers!C9</f>
        <v/>
      </c>
      <c r="D8" s="17">
        <f>Drivers!D10/Drivers!D9</f>
        <v/>
      </c>
      <c r="E8" s="17">
        <f>Drivers!E10/Drivers!E9</f>
        <v/>
      </c>
      <c r="F8" s="17">
        <f>Drivers!F10/Drivers!F9</f>
        <v/>
      </c>
      <c r="G8" s="17">
        <f>Drivers!G10/Drivers!G9</f>
        <v/>
      </c>
      <c r="H8" s="17">
        <f>Drivers!H10/Drivers!H9</f>
        <v/>
      </c>
    </row>
    <row r="9">
      <c r="A9" t="inlineStr">
        <is>
          <t>Cash cost per installed GPU-hour</t>
        </is>
      </c>
      <c r="B9" t="inlineStr">
        <is>
          <t>USD/GPU-hour</t>
        </is>
      </c>
      <c r="C9" s="17">
        <f>(Drivers!C10-Drivers!C11)/Drivers!C9</f>
        <v/>
      </c>
      <c r="D9" s="17">
        <f>(Drivers!D10-Drivers!D11)/Drivers!D9</f>
        <v/>
      </c>
      <c r="E9" s="17">
        <f>(Drivers!E10-Drivers!E11)/Drivers!E9</f>
        <v/>
      </c>
      <c r="F9" s="17">
        <f>(Drivers!F10-Drivers!F11)/Drivers!F9</f>
        <v/>
      </c>
      <c r="G9" s="17">
        <f>(Drivers!G10-Drivers!G11)/Drivers!G9</f>
        <v/>
      </c>
      <c r="H9" s="17">
        <f>(Drivers!H10-Drivers!H11)/Drivers!H9</f>
        <v/>
      </c>
    </row>
    <row r="10">
      <c r="A10" t="inlineStr">
        <is>
          <t>Cash margin per installed GPU-hour</t>
        </is>
      </c>
      <c r="B10" t="inlineStr">
        <is>
          <t>USD/GPU-hour</t>
        </is>
      </c>
      <c r="C10" s="15">
        <f>C8-C9</f>
        <v/>
      </c>
      <c r="D10" s="15">
        <f>D8-D9</f>
        <v/>
      </c>
      <c r="E10" s="15">
        <f>E8-E9</f>
        <v/>
      </c>
      <c r="F10" s="15">
        <f>F8-F9</f>
        <v/>
      </c>
      <c r="G10" s="15">
        <f>G8-G9</f>
        <v/>
      </c>
      <c r="H10" s="15">
        <f>H8-H9</f>
        <v/>
      </c>
    </row>
    <row r="11">
      <c r="A11" t="inlineStr">
        <is>
          <t>Capital charge per installed GPU-hour</t>
        </is>
      </c>
      <c r="B11" t="inlineStr">
        <is>
          <t>USD/GPU-hour</t>
        </is>
      </c>
      <c r="C11" s="17">
        <f>in_chip_cost*(1-in_residual_value_share/(1+in_financing_rate)^in_depreciation_years)*Drivers!C15/8760</f>
        <v/>
      </c>
      <c r="D11" s="17">
        <f>in_chip_cost*(1-in_residual_value_share/(1+in_financing_rate)^in_depreciation_years)*Drivers!D15/8760</f>
        <v/>
      </c>
      <c r="E11" s="17">
        <f>in_chip_cost*(1-in_residual_value_share/(1+in_financing_rate)^in_depreciation_years)*Drivers!E15/8760</f>
        <v/>
      </c>
      <c r="F11" s="17">
        <f>in_chip_cost*(1-in_residual_value_share/(1+in_financing_rate)^in_depreciation_years)*Drivers!F15/8760</f>
        <v/>
      </c>
      <c r="G11" s="17">
        <f>in_chip_cost*(1-in_residual_value_share/(1+in_financing_rate)^in_depreciation_years)*Drivers!G15/8760</f>
        <v/>
      </c>
      <c r="H11" s="17">
        <f>in_chip_cost*(1-in_residual_value_share/(1+in_financing_rate)^in_depreciation_years)*Drivers!H15/8760</f>
        <v/>
      </c>
    </row>
    <row r="12">
      <c r="A12" t="inlineStr">
        <is>
          <t>Fully loaded margin per installed GPU-hour</t>
        </is>
      </c>
      <c r="B12" t="inlineStr">
        <is>
          <t>USD/GPU-hour</t>
        </is>
      </c>
      <c r="C12" s="15">
        <f>C10-C11</f>
        <v/>
      </c>
      <c r="D12" s="15">
        <f>D10-D11</f>
        <v/>
      </c>
      <c r="E12" s="15">
        <f>E10-E11</f>
        <v/>
      </c>
      <c r="F12" s="15">
        <f>F10-F11</f>
        <v/>
      </c>
      <c r="G12" s="15">
        <f>G10-G11</f>
        <v/>
      </c>
      <c r="H12" s="15">
        <f>H10-H11</f>
        <v/>
      </c>
    </row>
    <row r="13">
      <c r="A13" t="inlineStr">
        <is>
          <t>Payback per GPU (engine)</t>
        </is>
      </c>
      <c r="B13" t="inlineStr">
        <is>
          <t>years</t>
        </is>
      </c>
      <c r="C13" s="17">
        <f>IF(C10&gt;0,in_chip_cost/(C10*8760),"never")</f>
        <v/>
      </c>
      <c r="D13" s="17">
        <f>IF(D10&gt;0,in_chip_cost/(D10*8760),"never")</f>
        <v/>
      </c>
      <c r="E13" s="17">
        <f>IF(E10&gt;0,in_chip_cost/(E10*8760),"never")</f>
        <v/>
      </c>
      <c r="F13" s="17">
        <f>IF(F10&gt;0,in_chip_cost/(F10*8760),"never")</f>
        <v/>
      </c>
      <c r="G13" s="17">
        <f>IF(G10&gt;0,in_chip_cost/(G10*8760),"never")</f>
        <v/>
      </c>
      <c r="H13" s="17">
        <f>IF(H10&gt;0,in_chip_cost/(H10*8760),"never")</f>
        <v/>
      </c>
    </row>
    <row r="14">
      <c r="A14" t="inlineStr">
        <is>
          <t>Payback, as disclosed by the company</t>
        </is>
      </c>
      <c r="B14" t="inlineStr">
        <is>
          <t>years</t>
        </is>
      </c>
      <c r="C14" s="17">
        <f>in_disclosed_cash_payback_years</f>
        <v/>
      </c>
      <c r="D14" s="17">
        <f>in_disclosed_cash_payback_years</f>
        <v/>
      </c>
      <c r="E14" s="17">
        <f>in_disclosed_cash_payback_years</f>
        <v/>
      </c>
      <c r="F14" s="17">
        <f>in_disclosed_cash_payback_years</f>
        <v/>
      </c>
      <c r="G14" s="17">
        <f>in_disclosed_cash_payback_years</f>
        <v/>
      </c>
      <c r="H14" s="17">
        <f>in_disclosed_cash_payback_years</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0" t="inlineStr">
        <is>
          <t>concept</t>
        </is>
      </c>
      <c r="B1" s="10" t="inlineStr">
        <is>
          <t>tag</t>
        </is>
      </c>
      <c r="C1" s="10" t="inlineStr">
        <is>
          <t>taxonomy</t>
        </is>
      </c>
      <c r="D1" s="10" t="inlineStr">
        <is>
          <t>unit</t>
        </is>
      </c>
      <c r="E1" s="10" t="inlineStr">
        <is>
          <t>start</t>
        </is>
      </c>
      <c r="F1" s="10" t="inlineStr">
        <is>
          <t>end</t>
        </is>
      </c>
      <c r="G1" s="10" t="inlineStr">
        <is>
          <t>val</t>
        </is>
      </c>
      <c r="H1" s="10" t="inlineStr">
        <is>
          <t>fy</t>
        </is>
      </c>
      <c r="I1" s="10" t="inlineStr">
        <is>
          <t>fp</t>
        </is>
      </c>
      <c r="J1" s="10" t="inlineStr">
        <is>
          <t>form</t>
        </is>
      </c>
      <c r="K1" s="10" t="inlineStr">
        <is>
          <t>filed</t>
        </is>
      </c>
      <c r="L1" s="10" t="inlineStr">
        <is>
          <t>accn</t>
        </is>
      </c>
      <c r="M1" s="10" t="inlineStr">
        <is>
          <t>frame</t>
        </is>
      </c>
    </row>
    <row r="2">
      <c r="A2" t="inlineStr">
        <is>
          <t>capex</t>
        </is>
      </c>
      <c r="B2" t="inlineStr">
        <is>
          <t>PaymentsToAcquirePropertyPlantAndEquipment</t>
        </is>
      </c>
      <c r="C2" t="inlineStr">
        <is>
          <t>us-gaap</t>
        </is>
      </c>
      <c r="D2" t="inlineStr">
        <is>
          <t>USD</t>
        </is>
      </c>
      <c r="E2" t="inlineStr">
        <is>
          <t>2023-01-01</t>
        </is>
      </c>
      <c r="F2" t="inlineStr">
        <is>
          <t>2023-12-31</t>
        </is>
      </c>
      <c r="G2" t="n">
        <v>2943000000</v>
      </c>
      <c r="H2" t="n">
        <v>2025</v>
      </c>
      <c r="I2" t="inlineStr">
        <is>
          <t>FY</t>
        </is>
      </c>
      <c r="J2" t="inlineStr">
        <is>
          <t>10-K</t>
        </is>
      </c>
      <c r="K2" t="inlineStr">
        <is>
          <t>2026-03-02</t>
        </is>
      </c>
      <c r="L2" t="inlineStr">
        <is>
          <t>0001769628-26-000104</t>
        </is>
      </c>
      <c r="M2" t="inlineStr">
        <is>
          <t>CY2023</t>
        </is>
      </c>
    </row>
    <row r="3">
      <c r="A3" t="inlineStr">
        <is>
          <t>capex</t>
        </is>
      </c>
      <c r="B3" t="inlineStr">
        <is>
          <t>PaymentsToAcquirePropertyPlantAndEquipment</t>
        </is>
      </c>
      <c r="C3" t="inlineStr">
        <is>
          <t>us-gaap</t>
        </is>
      </c>
      <c r="D3" t="inlineStr">
        <is>
          <t>USD</t>
        </is>
      </c>
      <c r="E3" t="inlineStr">
        <is>
          <t>2024-01-01</t>
        </is>
      </c>
      <c r="F3" t="inlineStr">
        <is>
          <t>2024-03-31</t>
        </is>
      </c>
      <c r="G3" t="n">
        <v>1741935000</v>
      </c>
      <c r="H3" t="n">
        <v>2025</v>
      </c>
      <c r="I3" t="inlineStr">
        <is>
          <t>Q1</t>
        </is>
      </c>
      <c r="J3" t="inlineStr">
        <is>
          <t>10-Q</t>
        </is>
      </c>
      <c r="K3" t="inlineStr">
        <is>
          <t>2025-05-15</t>
        </is>
      </c>
      <c r="L3" t="inlineStr">
        <is>
          <t>0001769628-25-000014</t>
        </is>
      </c>
      <c r="M3" t="inlineStr">
        <is>
          <t>CY2024Q1</t>
        </is>
      </c>
    </row>
    <row r="4">
      <c r="A4" t="inlineStr">
        <is>
          <t>capex</t>
        </is>
      </c>
      <c r="B4" t="inlineStr">
        <is>
          <t>PaymentsToAcquirePropertyPlantAndEquipment</t>
        </is>
      </c>
      <c r="C4" t="inlineStr">
        <is>
          <t>us-gaap</t>
        </is>
      </c>
      <c r="D4" t="inlineStr">
        <is>
          <t>USD</t>
        </is>
      </c>
      <c r="E4" t="inlineStr">
        <is>
          <t>2024-01-01</t>
        </is>
      </c>
      <c r="F4" t="inlineStr">
        <is>
          <t>2024-06-30</t>
        </is>
      </c>
      <c r="G4" t="n">
        <v>3989096000</v>
      </c>
      <c r="H4" t="n">
        <v>2025</v>
      </c>
      <c r="I4" t="inlineStr">
        <is>
          <t>Q2</t>
        </is>
      </c>
      <c r="J4" t="inlineStr">
        <is>
          <t>10-Q</t>
        </is>
      </c>
      <c r="K4" t="inlineStr">
        <is>
          <t>2025-08-13</t>
        </is>
      </c>
      <c r="L4" t="inlineStr">
        <is>
          <t>0001769628-25-000041</t>
        </is>
      </c>
    </row>
    <row r="5">
      <c r="A5" t="inlineStr">
        <is>
          <t>capex</t>
        </is>
      </c>
      <c r="B5" t="inlineStr">
        <is>
          <t>PaymentsToAcquirePropertyPlantAndEquipment</t>
        </is>
      </c>
      <c r="C5" t="inlineStr">
        <is>
          <t>us-gaap</t>
        </is>
      </c>
      <c r="D5" t="inlineStr">
        <is>
          <t>USD</t>
        </is>
      </c>
      <c r="E5" t="inlineStr">
        <is>
          <t>2024-01-01</t>
        </is>
      </c>
      <c r="F5" t="inlineStr">
        <is>
          <t>2024-09-30</t>
        </is>
      </c>
      <c r="G5" t="n">
        <v>5204251000</v>
      </c>
      <c r="H5" t="n">
        <v>2025</v>
      </c>
      <c r="I5" t="inlineStr">
        <is>
          <t>Q3</t>
        </is>
      </c>
      <c r="J5" t="inlineStr">
        <is>
          <t>10-Q</t>
        </is>
      </c>
      <c r="K5" t="inlineStr">
        <is>
          <t>2025-11-13</t>
        </is>
      </c>
      <c r="L5" t="inlineStr">
        <is>
          <t>0001769628-25-000062</t>
        </is>
      </c>
    </row>
    <row r="6">
      <c r="A6" t="inlineStr">
        <is>
          <t>capex</t>
        </is>
      </c>
      <c r="B6" t="inlineStr">
        <is>
          <t>PaymentsToAcquirePropertyPlantAndEquipment</t>
        </is>
      </c>
      <c r="C6" t="inlineStr">
        <is>
          <t>us-gaap</t>
        </is>
      </c>
      <c r="D6" t="inlineStr">
        <is>
          <t>USD</t>
        </is>
      </c>
      <c r="E6" t="inlineStr">
        <is>
          <t>2024-01-01</t>
        </is>
      </c>
      <c r="F6" t="inlineStr">
        <is>
          <t>2024-12-31</t>
        </is>
      </c>
      <c r="G6" t="n">
        <v>8702000000</v>
      </c>
      <c r="H6" t="n">
        <v>2025</v>
      </c>
      <c r="I6" t="inlineStr">
        <is>
          <t>FY</t>
        </is>
      </c>
      <c r="J6" t="inlineStr">
        <is>
          <t>10-K</t>
        </is>
      </c>
      <c r="K6" t="inlineStr">
        <is>
          <t>2026-03-02</t>
        </is>
      </c>
      <c r="L6" t="inlineStr">
        <is>
          <t>0001769628-26-000104</t>
        </is>
      </c>
      <c r="M6" t="inlineStr">
        <is>
          <t>CY2024</t>
        </is>
      </c>
    </row>
    <row r="7">
      <c r="A7" t="inlineStr">
        <is>
          <t>capex</t>
        </is>
      </c>
      <c r="B7" t="inlineStr">
        <is>
          <t>PaymentsToAcquirePropertyPlantAndEquipment</t>
        </is>
      </c>
      <c r="C7" t="inlineStr">
        <is>
          <t>us-gaap</t>
        </is>
      </c>
      <c r="D7" t="inlineStr">
        <is>
          <t>USD</t>
        </is>
      </c>
      <c r="E7" t="inlineStr">
        <is>
          <t>2025-01-01</t>
        </is>
      </c>
      <c r="F7" t="inlineStr">
        <is>
          <t>2025-03-31</t>
        </is>
      </c>
      <c r="G7" t="n">
        <v>1407359000</v>
      </c>
      <c r="H7" t="n">
        <v>2025</v>
      </c>
      <c r="I7" t="inlineStr">
        <is>
          <t>Q1</t>
        </is>
      </c>
      <c r="J7" t="inlineStr">
        <is>
          <t>10-Q</t>
        </is>
      </c>
      <c r="K7" t="inlineStr">
        <is>
          <t>2025-05-15</t>
        </is>
      </c>
      <c r="L7" t="inlineStr">
        <is>
          <t>0001769628-25-000014</t>
        </is>
      </c>
    </row>
    <row r="8">
      <c r="A8" t="inlineStr">
        <is>
          <t>capex</t>
        </is>
      </c>
      <c r="B8" t="inlineStr">
        <is>
          <t>PaymentsToAcquirePropertyPlantAndEquipment</t>
        </is>
      </c>
      <c r="C8" t="inlineStr">
        <is>
          <t>us-gaap</t>
        </is>
      </c>
      <c r="D8" t="inlineStr">
        <is>
          <t>USD</t>
        </is>
      </c>
      <c r="E8" t="inlineStr">
        <is>
          <t>2025-01-01</t>
        </is>
      </c>
      <c r="F8" t="inlineStr">
        <is>
          <t>2025-03-31</t>
        </is>
      </c>
      <c r="G8" t="n">
        <v>1407000000</v>
      </c>
      <c r="H8" t="n">
        <v>2026</v>
      </c>
      <c r="I8" t="inlineStr">
        <is>
          <t>Q1</t>
        </is>
      </c>
      <c r="J8" t="inlineStr">
        <is>
          <t>10-Q</t>
        </is>
      </c>
      <c r="K8" t="inlineStr">
        <is>
          <t>2026-05-08</t>
        </is>
      </c>
      <c r="L8" t="inlineStr">
        <is>
          <t>0001769628-26-000222</t>
        </is>
      </c>
      <c r="M8" t="inlineStr">
        <is>
          <t>CY2025Q1</t>
        </is>
      </c>
    </row>
    <row r="9">
      <c r="A9" t="inlineStr">
        <is>
          <t>capex</t>
        </is>
      </c>
      <c r="B9" t="inlineStr">
        <is>
          <t>PaymentsToAcquirePropertyPlantAndEquipment</t>
        </is>
      </c>
      <c r="C9" t="inlineStr">
        <is>
          <t>us-gaap</t>
        </is>
      </c>
      <c r="D9" t="inlineStr">
        <is>
          <t>USD</t>
        </is>
      </c>
      <c r="E9" t="inlineStr">
        <is>
          <t>2025-01-01</t>
        </is>
      </c>
      <c r="F9" t="inlineStr">
        <is>
          <t>2025-06-30</t>
        </is>
      </c>
      <c r="G9" t="n">
        <v>3860351000</v>
      </c>
      <c r="H9" t="n">
        <v>2025</v>
      </c>
      <c r="I9" t="inlineStr">
        <is>
          <t>Q2</t>
        </is>
      </c>
      <c r="J9" t="inlineStr">
        <is>
          <t>10-Q</t>
        </is>
      </c>
      <c r="K9" t="inlineStr">
        <is>
          <t>2025-08-13</t>
        </is>
      </c>
      <c r="L9" t="inlineStr">
        <is>
          <t>0001769628-25-000041</t>
        </is>
      </c>
    </row>
    <row r="10">
      <c r="A10" t="inlineStr">
        <is>
          <t>capex</t>
        </is>
      </c>
      <c r="B10" t="inlineStr">
        <is>
          <t>PaymentsToAcquirePropertyPlantAndEquipment</t>
        </is>
      </c>
      <c r="C10" t="inlineStr">
        <is>
          <t>us-gaap</t>
        </is>
      </c>
      <c r="D10" t="inlineStr">
        <is>
          <t>USD</t>
        </is>
      </c>
      <c r="E10" t="inlineStr">
        <is>
          <t>2025-01-01</t>
        </is>
      </c>
      <c r="F10" t="inlineStr">
        <is>
          <t>2025-06-30</t>
        </is>
      </c>
      <c r="G10" t="n">
        <v>3860000000</v>
      </c>
      <c r="H10" t="n">
        <v>2026</v>
      </c>
      <c r="I10" t="inlineStr">
        <is>
          <t>Q2</t>
        </is>
      </c>
      <c r="J10" t="inlineStr">
        <is>
          <t>10-Q</t>
        </is>
      </c>
      <c r="K10" t="inlineStr">
        <is>
          <t>2026-08-12</t>
        </is>
      </c>
      <c r="L10" t="inlineStr">
        <is>
          <t>0001769628-26-000366</t>
        </is>
      </c>
    </row>
    <row r="11">
      <c r="A11" t="inlineStr">
        <is>
          <t>capex</t>
        </is>
      </c>
      <c r="B11" t="inlineStr">
        <is>
          <t>PaymentsToAcquirePropertyPlantAndEquipment</t>
        </is>
      </c>
      <c r="C11" t="inlineStr">
        <is>
          <t>us-gaap</t>
        </is>
      </c>
      <c r="D11" t="inlineStr">
        <is>
          <t>USD</t>
        </is>
      </c>
      <c r="E11" t="inlineStr">
        <is>
          <t>2025-01-01</t>
        </is>
      </c>
      <c r="F11" t="inlineStr">
        <is>
          <t>2025-09-30</t>
        </is>
      </c>
      <c r="G11" t="n">
        <v>6249239000</v>
      </c>
      <c r="H11" t="n">
        <v>2025</v>
      </c>
      <c r="I11" t="inlineStr">
        <is>
          <t>Q3</t>
        </is>
      </c>
      <c r="J11" t="inlineStr">
        <is>
          <t>10-Q</t>
        </is>
      </c>
      <c r="K11" t="inlineStr">
        <is>
          <t>2025-11-13</t>
        </is>
      </c>
      <c r="L11" t="inlineStr">
        <is>
          <t>0001769628-25-000062</t>
        </is>
      </c>
    </row>
    <row r="12">
      <c r="A12" t="inlineStr">
        <is>
          <t>capex</t>
        </is>
      </c>
      <c r="B12" t="inlineStr">
        <is>
          <t>PaymentsToAcquirePropertyPlantAndEquipment</t>
        </is>
      </c>
      <c r="C12" t="inlineStr">
        <is>
          <t>us-gaap</t>
        </is>
      </c>
      <c r="D12" t="inlineStr">
        <is>
          <t>USD</t>
        </is>
      </c>
      <c r="E12" t="inlineStr">
        <is>
          <t>2025-01-01</t>
        </is>
      </c>
      <c r="F12" t="inlineStr">
        <is>
          <t>2025-12-31</t>
        </is>
      </c>
      <c r="G12" t="n">
        <v>10309000000</v>
      </c>
      <c r="H12" t="n">
        <v>2025</v>
      </c>
      <c r="I12" t="inlineStr">
        <is>
          <t>FY</t>
        </is>
      </c>
      <c r="J12" t="inlineStr">
        <is>
          <t>10-K</t>
        </is>
      </c>
      <c r="K12" t="inlineStr">
        <is>
          <t>2026-03-02</t>
        </is>
      </c>
      <c r="L12" t="inlineStr">
        <is>
          <t>0001769628-26-000104</t>
        </is>
      </c>
      <c r="M12" t="inlineStr">
        <is>
          <t>CY2025</t>
        </is>
      </c>
    </row>
    <row r="13">
      <c r="A13" t="inlineStr">
        <is>
          <t>capex</t>
        </is>
      </c>
      <c r="B13" t="inlineStr">
        <is>
          <t>PaymentsToAcquirePropertyPlantAndEquipment</t>
        </is>
      </c>
      <c r="C13" t="inlineStr">
        <is>
          <t>us-gaap</t>
        </is>
      </c>
      <c r="D13" t="inlineStr">
        <is>
          <t>USD</t>
        </is>
      </c>
      <c r="E13" t="inlineStr">
        <is>
          <t>2026-01-01</t>
        </is>
      </c>
      <c r="F13" t="inlineStr">
        <is>
          <t>2026-03-31</t>
        </is>
      </c>
      <c r="G13" t="n">
        <v>7695000000</v>
      </c>
      <c r="H13" t="n">
        <v>2026</v>
      </c>
      <c r="I13" t="inlineStr">
        <is>
          <t>Q1</t>
        </is>
      </c>
      <c r="J13" t="inlineStr">
        <is>
          <t>10-Q</t>
        </is>
      </c>
      <c r="K13" t="inlineStr">
        <is>
          <t>2026-05-08</t>
        </is>
      </c>
      <c r="L13" t="inlineStr">
        <is>
          <t>0001769628-26-000222</t>
        </is>
      </c>
      <c r="M13" t="inlineStr">
        <is>
          <t>CY2026Q1</t>
        </is>
      </c>
    </row>
    <row r="14">
      <c r="A14" t="inlineStr">
        <is>
          <t>capex</t>
        </is>
      </c>
      <c r="B14" t="inlineStr">
        <is>
          <t>PaymentsToAcquirePropertyPlantAndEquipment</t>
        </is>
      </c>
      <c r="C14" t="inlineStr">
        <is>
          <t>us-gaap</t>
        </is>
      </c>
      <c r="D14" t="inlineStr">
        <is>
          <t>USD</t>
        </is>
      </c>
      <c r="E14" t="inlineStr">
        <is>
          <t>2026-01-01</t>
        </is>
      </c>
      <c r="F14" t="inlineStr">
        <is>
          <t>2026-06-30</t>
        </is>
      </c>
      <c r="G14" t="n">
        <v>14117000000</v>
      </c>
      <c r="H14" t="n">
        <v>2026</v>
      </c>
      <c r="I14" t="inlineStr">
        <is>
          <t>Q2</t>
        </is>
      </c>
      <c r="J14" t="inlineStr">
        <is>
          <t>10-Q</t>
        </is>
      </c>
      <c r="K14" t="inlineStr">
        <is>
          <t>2026-08-12</t>
        </is>
      </c>
      <c r="L14" t="inlineStr">
        <is>
          <t>0001769628-26-000366</t>
        </is>
      </c>
    </row>
    <row r="15">
      <c r="A15" t="inlineStr">
        <is>
          <t>cash</t>
        </is>
      </c>
      <c r="B15" t="inlineStr">
        <is>
          <t>CashAndCashEquivalentsAtCarryingValue</t>
        </is>
      </c>
      <c r="C15" t="inlineStr">
        <is>
          <t>us-gaap</t>
        </is>
      </c>
      <c r="D15" t="inlineStr">
        <is>
          <t>USD</t>
        </is>
      </c>
      <c r="F15" t="inlineStr">
        <is>
          <t>2023-12-31</t>
        </is>
      </c>
      <c r="G15" t="n">
        <v>217000000</v>
      </c>
      <c r="H15" t="n">
        <v>2025</v>
      </c>
      <c r="I15" t="inlineStr">
        <is>
          <t>FY</t>
        </is>
      </c>
      <c r="J15" t="inlineStr">
        <is>
          <t>10-K</t>
        </is>
      </c>
      <c r="K15" t="inlineStr">
        <is>
          <t>2026-03-02</t>
        </is>
      </c>
      <c r="L15" t="inlineStr">
        <is>
          <t>0001769628-26-000104</t>
        </is>
      </c>
      <c r="M15" t="inlineStr">
        <is>
          <t>CY2023Q4I</t>
        </is>
      </c>
    </row>
    <row r="16">
      <c r="A16" t="inlineStr">
        <is>
          <t>cash</t>
        </is>
      </c>
      <c r="B16" t="inlineStr">
        <is>
          <t>CashAndCashEquivalentsAtCarryingValue</t>
        </is>
      </c>
      <c r="C16" t="inlineStr">
        <is>
          <t>us-gaap</t>
        </is>
      </c>
      <c r="D16" t="inlineStr">
        <is>
          <t>USD</t>
        </is>
      </c>
      <c r="F16" t="inlineStr">
        <is>
          <t>2024-03-31</t>
        </is>
      </c>
      <c r="G16" t="n">
        <v>1306872000</v>
      </c>
      <c r="H16" t="n">
        <v>2025</v>
      </c>
      <c r="I16" t="inlineStr">
        <is>
          <t>Q1</t>
        </is>
      </c>
      <c r="J16" t="inlineStr">
        <is>
          <t>10-Q</t>
        </is>
      </c>
      <c r="K16" t="inlineStr">
        <is>
          <t>2025-05-15</t>
        </is>
      </c>
      <c r="L16" t="inlineStr">
        <is>
          <t>0001769628-25-000014</t>
        </is>
      </c>
      <c r="M16" t="inlineStr">
        <is>
          <t>CY2024Q1I</t>
        </is>
      </c>
    </row>
    <row r="17">
      <c r="A17" t="inlineStr">
        <is>
          <t>cash</t>
        </is>
      </c>
      <c r="B17" t="inlineStr">
        <is>
          <t>CashAndCashEquivalentsAtCarryingValue</t>
        </is>
      </c>
      <c r="C17" t="inlineStr">
        <is>
          <t>us-gaap</t>
        </is>
      </c>
      <c r="D17" t="inlineStr">
        <is>
          <t>USD</t>
        </is>
      </c>
      <c r="F17" t="inlineStr">
        <is>
          <t>2024-06-30</t>
        </is>
      </c>
      <c r="G17" t="n">
        <v>1028044000</v>
      </c>
      <c r="H17" t="n">
        <v>2025</v>
      </c>
      <c r="I17" t="inlineStr">
        <is>
          <t>Q2</t>
        </is>
      </c>
      <c r="J17" t="inlineStr">
        <is>
          <t>10-Q</t>
        </is>
      </c>
      <c r="K17" t="inlineStr">
        <is>
          <t>2025-08-13</t>
        </is>
      </c>
      <c r="L17" t="inlineStr">
        <is>
          <t>0001769628-25-000041</t>
        </is>
      </c>
      <c r="M17" t="inlineStr">
        <is>
          <t>CY2024Q2I</t>
        </is>
      </c>
    </row>
    <row r="18">
      <c r="A18" t="inlineStr">
        <is>
          <t>cash</t>
        </is>
      </c>
      <c r="B18" t="inlineStr">
        <is>
          <t>CashAndCashEquivalentsAtCarryingValue</t>
        </is>
      </c>
      <c r="C18" t="inlineStr">
        <is>
          <t>us-gaap</t>
        </is>
      </c>
      <c r="D18" t="inlineStr">
        <is>
          <t>USD</t>
        </is>
      </c>
      <c r="F18" t="inlineStr">
        <is>
          <t>2024-09-30</t>
        </is>
      </c>
      <c r="G18" t="n">
        <v>1355216000</v>
      </c>
      <c r="H18" t="n">
        <v>2025</v>
      </c>
      <c r="I18" t="inlineStr">
        <is>
          <t>Q3</t>
        </is>
      </c>
      <c r="J18" t="inlineStr">
        <is>
          <t>10-Q</t>
        </is>
      </c>
      <c r="K18" t="inlineStr">
        <is>
          <t>2025-11-13</t>
        </is>
      </c>
      <c r="L18" t="inlineStr">
        <is>
          <t>0001769628-25-000062</t>
        </is>
      </c>
      <c r="M18" t="inlineStr">
        <is>
          <t>CY2024Q3I</t>
        </is>
      </c>
    </row>
    <row r="19">
      <c r="A19" t="inlineStr">
        <is>
          <t>cash</t>
        </is>
      </c>
      <c r="B19" t="inlineStr">
        <is>
          <t>CashAndCashEquivalentsAtCarryingValue</t>
        </is>
      </c>
      <c r="C19" t="inlineStr">
        <is>
          <t>us-gaap</t>
        </is>
      </c>
      <c r="D19" t="inlineStr">
        <is>
          <t>USD</t>
        </is>
      </c>
      <c r="F19" t="inlineStr">
        <is>
          <t>2024-12-31</t>
        </is>
      </c>
      <c r="G19" t="n">
        <v>1361083000</v>
      </c>
      <c r="H19" t="n">
        <v>2025</v>
      </c>
      <c r="I19" t="inlineStr">
        <is>
          <t>Q1</t>
        </is>
      </c>
      <c r="J19" t="inlineStr">
        <is>
          <t>10-Q</t>
        </is>
      </c>
      <c r="K19" t="inlineStr">
        <is>
          <t>2025-05-15</t>
        </is>
      </c>
      <c r="L19" t="inlineStr">
        <is>
          <t>0001769628-25-000014</t>
        </is>
      </c>
    </row>
    <row r="20">
      <c r="A20" t="inlineStr">
        <is>
          <t>cash</t>
        </is>
      </c>
      <c r="B20" t="inlineStr">
        <is>
          <t>CashAndCashEquivalentsAtCarryingValue</t>
        </is>
      </c>
      <c r="C20" t="inlineStr">
        <is>
          <t>us-gaap</t>
        </is>
      </c>
      <c r="D20" t="inlineStr">
        <is>
          <t>USD</t>
        </is>
      </c>
      <c r="F20" t="inlineStr">
        <is>
          <t>2024-12-31</t>
        </is>
      </c>
      <c r="G20" t="n">
        <v>1361083000</v>
      </c>
      <c r="H20" t="n">
        <v>2025</v>
      </c>
      <c r="I20" t="inlineStr">
        <is>
          <t>Q2</t>
        </is>
      </c>
      <c r="J20" t="inlineStr">
        <is>
          <t>10-Q</t>
        </is>
      </c>
      <c r="K20" t="inlineStr">
        <is>
          <t>2025-08-13</t>
        </is>
      </c>
      <c r="L20" t="inlineStr">
        <is>
          <t>0001769628-25-000041</t>
        </is>
      </c>
    </row>
    <row r="21">
      <c r="A21" t="inlineStr">
        <is>
          <t>cash</t>
        </is>
      </c>
      <c r="B21" t="inlineStr">
        <is>
          <t>CashAndCashEquivalentsAtCarryingValue</t>
        </is>
      </c>
      <c r="C21" t="inlineStr">
        <is>
          <t>us-gaap</t>
        </is>
      </c>
      <c r="D21" t="inlineStr">
        <is>
          <t>USD</t>
        </is>
      </c>
      <c r="F21" t="inlineStr">
        <is>
          <t>2024-12-31</t>
        </is>
      </c>
      <c r="G21" t="n">
        <v>1361083000</v>
      </c>
      <c r="H21" t="n">
        <v>2025</v>
      </c>
      <c r="I21" t="inlineStr">
        <is>
          <t>Q3</t>
        </is>
      </c>
      <c r="J21" t="inlineStr">
        <is>
          <t>10-Q</t>
        </is>
      </c>
      <c r="K21" t="inlineStr">
        <is>
          <t>2025-11-13</t>
        </is>
      </c>
      <c r="L21" t="inlineStr">
        <is>
          <t>0001769628-25-000062</t>
        </is>
      </c>
    </row>
    <row r="22">
      <c r="A22" t="inlineStr">
        <is>
          <t>cash</t>
        </is>
      </c>
      <c r="B22" t="inlineStr">
        <is>
          <t>CashAndCashEquivalentsAtCarryingValue</t>
        </is>
      </c>
      <c r="C22" t="inlineStr">
        <is>
          <t>us-gaap</t>
        </is>
      </c>
      <c r="D22" t="inlineStr">
        <is>
          <t>USD</t>
        </is>
      </c>
      <c r="F22" t="inlineStr">
        <is>
          <t>2024-12-31</t>
        </is>
      </c>
      <c r="G22" t="n">
        <v>1361000000</v>
      </c>
      <c r="H22" t="n">
        <v>2025</v>
      </c>
      <c r="I22" t="inlineStr">
        <is>
          <t>FY</t>
        </is>
      </c>
      <c r="J22" t="inlineStr">
        <is>
          <t>10-K</t>
        </is>
      </c>
      <c r="K22" t="inlineStr">
        <is>
          <t>2026-03-02</t>
        </is>
      </c>
      <c r="L22" t="inlineStr">
        <is>
          <t>0001769628-26-000104</t>
        </is>
      </c>
      <c r="M22" t="inlineStr">
        <is>
          <t>CY2024Q4I</t>
        </is>
      </c>
    </row>
    <row r="23">
      <c r="A23" t="inlineStr">
        <is>
          <t>cash</t>
        </is>
      </c>
      <c r="B23" t="inlineStr">
        <is>
          <t>CashAndCashEquivalentsAtCarryingValue</t>
        </is>
      </c>
      <c r="C23" t="inlineStr">
        <is>
          <t>us-gaap</t>
        </is>
      </c>
      <c r="D23" t="inlineStr">
        <is>
          <t>USD</t>
        </is>
      </c>
      <c r="F23" t="inlineStr">
        <is>
          <t>2025-03-31</t>
        </is>
      </c>
      <c r="G23" t="n">
        <v>1276456000</v>
      </c>
      <c r="H23" t="n">
        <v>2025</v>
      </c>
      <c r="I23" t="inlineStr">
        <is>
          <t>Q1</t>
        </is>
      </c>
      <c r="J23" t="inlineStr">
        <is>
          <t>10-Q</t>
        </is>
      </c>
      <c r="K23" t="inlineStr">
        <is>
          <t>2025-05-15</t>
        </is>
      </c>
      <c r="L23" t="inlineStr">
        <is>
          <t>0001769628-25-000014</t>
        </is>
      </c>
    </row>
    <row r="24">
      <c r="A24" t="inlineStr">
        <is>
          <t>cash</t>
        </is>
      </c>
      <c r="B24" t="inlineStr">
        <is>
          <t>CashAndCashEquivalentsAtCarryingValue</t>
        </is>
      </c>
      <c r="C24" t="inlineStr">
        <is>
          <t>us-gaap</t>
        </is>
      </c>
      <c r="D24" t="inlineStr">
        <is>
          <t>USD</t>
        </is>
      </c>
      <c r="F24" t="inlineStr">
        <is>
          <t>2025-03-31</t>
        </is>
      </c>
      <c r="G24" t="n">
        <v>1276000000</v>
      </c>
      <c r="H24" t="n">
        <v>2026</v>
      </c>
      <c r="I24" t="inlineStr">
        <is>
          <t>Q1</t>
        </is>
      </c>
      <c r="J24" t="inlineStr">
        <is>
          <t>10-Q</t>
        </is>
      </c>
      <c r="K24" t="inlineStr">
        <is>
          <t>2026-05-08</t>
        </is>
      </c>
      <c r="L24" t="inlineStr">
        <is>
          <t>0001769628-26-000222</t>
        </is>
      </c>
      <c r="M24" t="inlineStr">
        <is>
          <t>CY2025Q1I</t>
        </is>
      </c>
    </row>
    <row r="25">
      <c r="A25" t="inlineStr">
        <is>
          <t>cash</t>
        </is>
      </c>
      <c r="B25" t="inlineStr">
        <is>
          <t>CashAndCashEquivalentsAtCarryingValue</t>
        </is>
      </c>
      <c r="C25" t="inlineStr">
        <is>
          <t>us-gaap</t>
        </is>
      </c>
      <c r="D25" t="inlineStr">
        <is>
          <t>USD</t>
        </is>
      </c>
      <c r="F25" t="inlineStr">
        <is>
          <t>2025-06-30</t>
        </is>
      </c>
      <c r="G25" t="n">
        <v>1152883000</v>
      </c>
      <c r="H25" t="n">
        <v>2025</v>
      </c>
      <c r="I25" t="inlineStr">
        <is>
          <t>Q2</t>
        </is>
      </c>
      <c r="J25" t="inlineStr">
        <is>
          <t>10-Q</t>
        </is>
      </c>
      <c r="K25" t="inlineStr">
        <is>
          <t>2025-08-13</t>
        </is>
      </c>
      <c r="L25" t="inlineStr">
        <is>
          <t>0001769628-25-000041</t>
        </is>
      </c>
    </row>
    <row r="26">
      <c r="A26" t="inlineStr">
        <is>
          <t>cash</t>
        </is>
      </c>
      <c r="B26" t="inlineStr">
        <is>
          <t>CashAndCashEquivalentsAtCarryingValue</t>
        </is>
      </c>
      <c r="C26" t="inlineStr">
        <is>
          <t>us-gaap</t>
        </is>
      </c>
      <c r="D26" t="inlineStr">
        <is>
          <t>USD</t>
        </is>
      </c>
      <c r="F26" t="inlineStr">
        <is>
          <t>2025-06-30</t>
        </is>
      </c>
      <c r="G26" t="n">
        <v>1153000000</v>
      </c>
      <c r="H26" t="n">
        <v>2026</v>
      </c>
      <c r="I26" t="inlineStr">
        <is>
          <t>Q2</t>
        </is>
      </c>
      <c r="J26" t="inlineStr">
        <is>
          <t>10-Q</t>
        </is>
      </c>
      <c r="K26" t="inlineStr">
        <is>
          <t>2026-08-12</t>
        </is>
      </c>
      <c r="L26" t="inlineStr">
        <is>
          <t>0001769628-26-000366</t>
        </is>
      </c>
      <c r="M26" t="inlineStr">
        <is>
          <t>CY2025Q2I</t>
        </is>
      </c>
    </row>
    <row r="27">
      <c r="A27" t="inlineStr">
        <is>
          <t>cash</t>
        </is>
      </c>
      <c r="B27" t="inlineStr">
        <is>
          <t>CashAndCashEquivalentsAtCarryingValue</t>
        </is>
      </c>
      <c r="C27" t="inlineStr">
        <is>
          <t>us-gaap</t>
        </is>
      </c>
      <c r="D27" t="inlineStr">
        <is>
          <t>USD</t>
        </is>
      </c>
      <c r="F27" t="inlineStr">
        <is>
          <t>2025-09-30</t>
        </is>
      </c>
      <c r="G27" t="n">
        <v>1894399000</v>
      </c>
      <c r="H27" t="n">
        <v>2025</v>
      </c>
      <c r="I27" t="inlineStr">
        <is>
          <t>Q3</t>
        </is>
      </c>
      <c r="J27" t="inlineStr">
        <is>
          <t>10-Q</t>
        </is>
      </c>
      <c r="K27" t="inlineStr">
        <is>
          <t>2025-11-13</t>
        </is>
      </c>
      <c r="L27" t="inlineStr">
        <is>
          <t>0001769628-25-000062</t>
        </is>
      </c>
      <c r="M27" t="inlineStr">
        <is>
          <t>CY2025Q3I</t>
        </is>
      </c>
    </row>
    <row r="28">
      <c r="A28" t="inlineStr">
        <is>
          <t>cash</t>
        </is>
      </c>
      <c r="B28" t="inlineStr">
        <is>
          <t>CashAndCashEquivalentsAtCarryingValue</t>
        </is>
      </c>
      <c r="C28" t="inlineStr">
        <is>
          <t>us-gaap</t>
        </is>
      </c>
      <c r="D28" t="inlineStr">
        <is>
          <t>USD</t>
        </is>
      </c>
      <c r="F28" t="inlineStr">
        <is>
          <t>2025-12-31</t>
        </is>
      </c>
      <c r="G28" t="n">
        <v>3127000000</v>
      </c>
      <c r="H28" t="n">
        <v>2025</v>
      </c>
      <c r="I28" t="inlineStr">
        <is>
          <t>FY</t>
        </is>
      </c>
      <c r="J28" t="inlineStr">
        <is>
          <t>10-K</t>
        </is>
      </c>
      <c r="K28" t="inlineStr">
        <is>
          <t>2026-03-02</t>
        </is>
      </c>
      <c r="L28" t="inlineStr">
        <is>
          <t>0001769628-26-000104</t>
        </is>
      </c>
    </row>
    <row r="29">
      <c r="A29" t="inlineStr">
        <is>
          <t>cash</t>
        </is>
      </c>
      <c r="B29" t="inlineStr">
        <is>
          <t>CashAndCashEquivalentsAtCarryingValue</t>
        </is>
      </c>
      <c r="C29" t="inlineStr">
        <is>
          <t>us-gaap</t>
        </is>
      </c>
      <c r="D29" t="inlineStr">
        <is>
          <t>USD</t>
        </is>
      </c>
      <c r="F29" t="inlineStr">
        <is>
          <t>2025-12-31</t>
        </is>
      </c>
      <c r="G29" t="n">
        <v>3127000000</v>
      </c>
      <c r="H29" t="n">
        <v>2026</v>
      </c>
      <c r="I29" t="inlineStr">
        <is>
          <t>Q1</t>
        </is>
      </c>
      <c r="J29" t="inlineStr">
        <is>
          <t>10-Q</t>
        </is>
      </c>
      <c r="K29" t="inlineStr">
        <is>
          <t>2026-05-08</t>
        </is>
      </c>
      <c r="L29" t="inlineStr">
        <is>
          <t>0001769628-26-000222</t>
        </is>
      </c>
    </row>
    <row r="30">
      <c r="A30" t="inlineStr">
        <is>
          <t>cash</t>
        </is>
      </c>
      <c r="B30" t="inlineStr">
        <is>
          <t>CashAndCashEquivalentsAtCarryingValue</t>
        </is>
      </c>
      <c r="C30" t="inlineStr">
        <is>
          <t>us-gaap</t>
        </is>
      </c>
      <c r="D30" t="inlineStr">
        <is>
          <t>USD</t>
        </is>
      </c>
      <c r="F30" t="inlineStr">
        <is>
          <t>2025-12-31</t>
        </is>
      </c>
      <c r="G30" t="n">
        <v>3127000000</v>
      </c>
      <c r="H30" t="n">
        <v>2026</v>
      </c>
      <c r="I30" t="inlineStr">
        <is>
          <t>Q2</t>
        </is>
      </c>
      <c r="J30" t="inlineStr">
        <is>
          <t>10-Q</t>
        </is>
      </c>
      <c r="K30" t="inlineStr">
        <is>
          <t>2026-08-12</t>
        </is>
      </c>
      <c r="L30" t="inlineStr">
        <is>
          <t>0001769628-26-000366</t>
        </is>
      </c>
      <c r="M30" t="inlineStr">
        <is>
          <t>CY2025Q4I</t>
        </is>
      </c>
    </row>
    <row r="31">
      <c r="A31" t="inlineStr">
        <is>
          <t>cash</t>
        </is>
      </c>
      <c r="B31" t="inlineStr">
        <is>
          <t>CashAndCashEquivalentsAtCarryingValue</t>
        </is>
      </c>
      <c r="C31" t="inlineStr">
        <is>
          <t>us-gaap</t>
        </is>
      </c>
      <c r="D31" t="inlineStr">
        <is>
          <t>USD</t>
        </is>
      </c>
      <c r="F31" t="inlineStr">
        <is>
          <t>2026-03-31</t>
        </is>
      </c>
      <c r="G31" t="n">
        <v>2244000000</v>
      </c>
      <c r="H31" t="n">
        <v>2026</v>
      </c>
      <c r="I31" t="inlineStr">
        <is>
          <t>Q1</t>
        </is>
      </c>
      <c r="J31" t="inlineStr">
        <is>
          <t>10-Q</t>
        </is>
      </c>
      <c r="K31" t="inlineStr">
        <is>
          <t>2026-05-08</t>
        </is>
      </c>
      <c r="L31" t="inlineStr">
        <is>
          <t>0001769628-26-000222</t>
        </is>
      </c>
      <c r="M31" t="inlineStr">
        <is>
          <t>CY2026Q1I</t>
        </is>
      </c>
    </row>
    <row r="32">
      <c r="A32" t="inlineStr">
        <is>
          <t>cash</t>
        </is>
      </c>
      <c r="B32" t="inlineStr">
        <is>
          <t>CashAndCashEquivalentsAtCarryingValue</t>
        </is>
      </c>
      <c r="C32" t="inlineStr">
        <is>
          <t>us-gaap</t>
        </is>
      </c>
      <c r="D32" t="inlineStr">
        <is>
          <t>USD</t>
        </is>
      </c>
      <c r="F32" t="inlineStr">
        <is>
          <t>2026-06-30</t>
        </is>
      </c>
      <c r="G32" t="n">
        <v>5524000000</v>
      </c>
      <c r="H32" t="n">
        <v>2026</v>
      </c>
      <c r="I32" t="inlineStr">
        <is>
          <t>Q2</t>
        </is>
      </c>
      <c r="J32" t="inlineStr">
        <is>
          <t>10-Q</t>
        </is>
      </c>
      <c r="K32" t="inlineStr">
        <is>
          <t>2026-08-12</t>
        </is>
      </c>
      <c r="L32" t="inlineStr">
        <is>
          <t>0001769628-26-000366</t>
        </is>
      </c>
      <c r="M32" t="inlineStr">
        <is>
          <t>CY2026Q2I</t>
        </is>
      </c>
    </row>
    <row r="33">
      <c r="A33" t="inlineStr">
        <is>
          <t>cfo</t>
        </is>
      </c>
      <c r="B33" t="inlineStr">
        <is>
          <t>NetCashProvidedByUsedInOperatingActivities</t>
        </is>
      </c>
      <c r="C33" t="inlineStr">
        <is>
          <t>us-gaap</t>
        </is>
      </c>
      <c r="D33" t="inlineStr">
        <is>
          <t>USD</t>
        </is>
      </c>
      <c r="E33" t="inlineStr">
        <is>
          <t>2023-01-01</t>
        </is>
      </c>
      <c r="F33" t="inlineStr">
        <is>
          <t>2023-12-31</t>
        </is>
      </c>
      <c r="G33" t="n">
        <v>1833000000</v>
      </c>
      <c r="H33" t="n">
        <v>2025</v>
      </c>
      <c r="I33" t="inlineStr">
        <is>
          <t>FY</t>
        </is>
      </c>
      <c r="J33" t="inlineStr">
        <is>
          <t>10-K</t>
        </is>
      </c>
      <c r="K33" t="inlineStr">
        <is>
          <t>2026-03-02</t>
        </is>
      </c>
      <c r="L33" t="inlineStr">
        <is>
          <t>0001769628-26-000104</t>
        </is>
      </c>
      <c r="M33" t="inlineStr">
        <is>
          <t>CY2023</t>
        </is>
      </c>
    </row>
    <row r="34">
      <c r="A34" t="inlineStr">
        <is>
          <t>cfo</t>
        </is>
      </c>
      <c r="B34" t="inlineStr">
        <is>
          <t>NetCashProvidedByUsedInOperatingActivities</t>
        </is>
      </c>
      <c r="C34" t="inlineStr">
        <is>
          <t>us-gaap</t>
        </is>
      </c>
      <c r="D34" t="inlineStr">
        <is>
          <t>USD</t>
        </is>
      </c>
      <c r="E34" t="inlineStr">
        <is>
          <t>2024-01-01</t>
        </is>
      </c>
      <c r="F34" t="inlineStr">
        <is>
          <t>2024-03-31</t>
        </is>
      </c>
      <c r="G34" t="n">
        <v>2039038000</v>
      </c>
      <c r="H34" t="n">
        <v>2025</v>
      </c>
      <c r="I34" t="inlineStr">
        <is>
          <t>Q1</t>
        </is>
      </c>
      <c r="J34" t="inlineStr">
        <is>
          <t>10-Q</t>
        </is>
      </c>
      <c r="K34" t="inlineStr">
        <is>
          <t>2025-05-15</t>
        </is>
      </c>
      <c r="L34" t="inlineStr">
        <is>
          <t>0001769628-25-000014</t>
        </is>
      </c>
      <c r="M34" t="inlineStr">
        <is>
          <t>CY2024Q1</t>
        </is>
      </c>
    </row>
    <row r="35">
      <c r="A35" t="inlineStr">
        <is>
          <t>cfo</t>
        </is>
      </c>
      <c r="B35" t="inlineStr">
        <is>
          <t>NetCashProvidedByUsedInOperatingActivities</t>
        </is>
      </c>
      <c r="C35" t="inlineStr">
        <is>
          <t>us-gaap</t>
        </is>
      </c>
      <c r="D35" t="inlineStr">
        <is>
          <t>USD</t>
        </is>
      </c>
      <c r="E35" t="inlineStr">
        <is>
          <t>2024-01-01</t>
        </is>
      </c>
      <c r="F35" t="inlineStr">
        <is>
          <t>2024-06-30</t>
        </is>
      </c>
      <c r="G35" t="n">
        <v>1921214000</v>
      </c>
      <c r="H35" t="n">
        <v>2025</v>
      </c>
      <c r="I35" t="inlineStr">
        <is>
          <t>Q2</t>
        </is>
      </c>
      <c r="J35" t="inlineStr">
        <is>
          <t>10-Q</t>
        </is>
      </c>
      <c r="K35" t="inlineStr">
        <is>
          <t>2025-08-13</t>
        </is>
      </c>
      <c r="L35" t="inlineStr">
        <is>
          <t>0001769628-25-000041</t>
        </is>
      </c>
    </row>
    <row r="36">
      <c r="A36" t="inlineStr">
        <is>
          <t>cfo</t>
        </is>
      </c>
      <c r="B36" t="inlineStr">
        <is>
          <t>NetCashProvidedByUsedInOperatingActivities</t>
        </is>
      </c>
      <c r="C36" t="inlineStr">
        <is>
          <t>us-gaap</t>
        </is>
      </c>
      <c r="D36" t="inlineStr">
        <is>
          <t>USD</t>
        </is>
      </c>
      <c r="E36" t="inlineStr">
        <is>
          <t>2024-01-01</t>
        </is>
      </c>
      <c r="F36" t="inlineStr">
        <is>
          <t>2024-09-30</t>
        </is>
      </c>
      <c r="G36" t="n">
        <v>2562436000</v>
      </c>
      <c r="H36" t="n">
        <v>2025</v>
      </c>
      <c r="I36" t="inlineStr">
        <is>
          <t>Q3</t>
        </is>
      </c>
      <c r="J36" t="inlineStr">
        <is>
          <t>10-Q</t>
        </is>
      </c>
      <c r="K36" t="inlineStr">
        <is>
          <t>2025-11-13</t>
        </is>
      </c>
      <c r="L36" t="inlineStr">
        <is>
          <t>0001769628-25-000062</t>
        </is>
      </c>
    </row>
    <row r="37">
      <c r="A37" t="inlineStr">
        <is>
          <t>cfo</t>
        </is>
      </c>
      <c r="B37" t="inlineStr">
        <is>
          <t>NetCashProvidedByUsedInOperatingActivities</t>
        </is>
      </c>
      <c r="C37" t="inlineStr">
        <is>
          <t>us-gaap</t>
        </is>
      </c>
      <c r="D37" t="inlineStr">
        <is>
          <t>USD</t>
        </is>
      </c>
      <c r="E37" t="inlineStr">
        <is>
          <t>2024-01-01</t>
        </is>
      </c>
      <c r="F37" t="inlineStr">
        <is>
          <t>2024-12-31</t>
        </is>
      </c>
      <c r="G37" t="n">
        <v>2749000000</v>
      </c>
      <c r="H37" t="n">
        <v>2025</v>
      </c>
      <c r="I37" t="inlineStr">
        <is>
          <t>FY</t>
        </is>
      </c>
      <c r="J37" t="inlineStr">
        <is>
          <t>10-K</t>
        </is>
      </c>
      <c r="K37" t="inlineStr">
        <is>
          <t>2026-03-02</t>
        </is>
      </c>
      <c r="L37" t="inlineStr">
        <is>
          <t>0001769628-26-000104</t>
        </is>
      </c>
      <c r="M37" t="inlineStr">
        <is>
          <t>CY2024</t>
        </is>
      </c>
    </row>
    <row r="38">
      <c r="A38" t="inlineStr">
        <is>
          <t>cfo</t>
        </is>
      </c>
      <c r="B38" t="inlineStr">
        <is>
          <t>NetCashProvidedByUsedInOperatingActivities</t>
        </is>
      </c>
      <c r="C38" t="inlineStr">
        <is>
          <t>us-gaap</t>
        </is>
      </c>
      <c r="D38" t="inlineStr">
        <is>
          <t>USD</t>
        </is>
      </c>
      <c r="E38" t="inlineStr">
        <is>
          <t>2025-01-01</t>
        </is>
      </c>
      <c r="F38" t="inlineStr">
        <is>
          <t>2025-03-31</t>
        </is>
      </c>
      <c r="G38" t="n">
        <v>61168000</v>
      </c>
      <c r="H38" t="n">
        <v>2025</v>
      </c>
      <c r="I38" t="inlineStr">
        <is>
          <t>Q1</t>
        </is>
      </c>
      <c r="J38" t="inlineStr">
        <is>
          <t>10-Q</t>
        </is>
      </c>
      <c r="K38" t="inlineStr">
        <is>
          <t>2025-05-15</t>
        </is>
      </c>
      <c r="L38" t="inlineStr">
        <is>
          <t>0001769628-25-000014</t>
        </is>
      </c>
    </row>
    <row r="39">
      <c r="A39" t="inlineStr">
        <is>
          <t>cfo</t>
        </is>
      </c>
      <c r="B39" t="inlineStr">
        <is>
          <t>NetCashProvidedByUsedInOperatingActivities</t>
        </is>
      </c>
      <c r="C39" t="inlineStr">
        <is>
          <t>us-gaap</t>
        </is>
      </c>
      <c r="D39" t="inlineStr">
        <is>
          <t>USD</t>
        </is>
      </c>
      <c r="E39" t="inlineStr">
        <is>
          <t>2025-01-01</t>
        </is>
      </c>
      <c r="F39" t="inlineStr">
        <is>
          <t>2025-03-31</t>
        </is>
      </c>
      <c r="G39" t="n">
        <v>61000000</v>
      </c>
      <c r="H39" t="n">
        <v>2026</v>
      </c>
      <c r="I39" t="inlineStr">
        <is>
          <t>Q1</t>
        </is>
      </c>
      <c r="J39" t="inlineStr">
        <is>
          <t>10-Q</t>
        </is>
      </c>
      <c r="K39" t="inlineStr">
        <is>
          <t>2026-05-08</t>
        </is>
      </c>
      <c r="L39" t="inlineStr">
        <is>
          <t>0001769628-26-000222</t>
        </is>
      </c>
      <c r="M39" t="inlineStr">
        <is>
          <t>CY2025Q1</t>
        </is>
      </c>
    </row>
    <row r="40">
      <c r="A40" t="inlineStr">
        <is>
          <t>cfo</t>
        </is>
      </c>
      <c r="B40" t="inlineStr">
        <is>
          <t>NetCashProvidedByUsedInOperatingActivities</t>
        </is>
      </c>
      <c r="C40" t="inlineStr">
        <is>
          <t>us-gaap</t>
        </is>
      </c>
      <c r="D40" t="inlineStr">
        <is>
          <t>USD</t>
        </is>
      </c>
      <c r="E40" t="inlineStr">
        <is>
          <t>2025-01-01</t>
        </is>
      </c>
      <c r="F40" t="inlineStr">
        <is>
          <t>2025-06-30</t>
        </is>
      </c>
      <c r="G40" t="n">
        <v>-190083000</v>
      </c>
      <c r="H40" t="n">
        <v>2025</v>
      </c>
      <c r="I40" t="inlineStr">
        <is>
          <t>Q2</t>
        </is>
      </c>
      <c r="J40" t="inlineStr">
        <is>
          <t>10-Q</t>
        </is>
      </c>
      <c r="K40" t="inlineStr">
        <is>
          <t>2025-08-13</t>
        </is>
      </c>
      <c r="L40" t="inlineStr">
        <is>
          <t>0001769628-25-000041</t>
        </is>
      </c>
    </row>
    <row r="41">
      <c r="A41" t="inlineStr">
        <is>
          <t>cfo</t>
        </is>
      </c>
      <c r="B41" t="inlineStr">
        <is>
          <t>NetCashProvidedByUsedInOperatingActivities</t>
        </is>
      </c>
      <c r="C41" t="inlineStr">
        <is>
          <t>us-gaap</t>
        </is>
      </c>
      <c r="D41" t="inlineStr">
        <is>
          <t>USD</t>
        </is>
      </c>
      <c r="E41" t="inlineStr">
        <is>
          <t>2025-01-01</t>
        </is>
      </c>
      <c r="F41" t="inlineStr">
        <is>
          <t>2025-06-30</t>
        </is>
      </c>
      <c r="G41" t="n">
        <v>-190000000</v>
      </c>
      <c r="H41" t="n">
        <v>2026</v>
      </c>
      <c r="I41" t="inlineStr">
        <is>
          <t>Q2</t>
        </is>
      </c>
      <c r="J41" t="inlineStr">
        <is>
          <t>10-Q</t>
        </is>
      </c>
      <c r="K41" t="inlineStr">
        <is>
          <t>2026-08-12</t>
        </is>
      </c>
      <c r="L41" t="inlineStr">
        <is>
          <t>0001769628-26-000366</t>
        </is>
      </c>
    </row>
    <row r="42">
      <c r="A42" t="inlineStr">
        <is>
          <t>cfo</t>
        </is>
      </c>
      <c r="B42" t="inlineStr">
        <is>
          <t>NetCashProvidedByUsedInOperatingActivities</t>
        </is>
      </c>
      <c r="C42" t="inlineStr">
        <is>
          <t>us-gaap</t>
        </is>
      </c>
      <c r="D42" t="inlineStr">
        <is>
          <t>USD</t>
        </is>
      </c>
      <c r="E42" t="inlineStr">
        <is>
          <t>2025-01-01</t>
        </is>
      </c>
      <c r="F42" t="inlineStr">
        <is>
          <t>2025-09-30</t>
        </is>
      </c>
      <c r="G42" t="n">
        <v>1499051000</v>
      </c>
      <c r="H42" t="n">
        <v>2025</v>
      </c>
      <c r="I42" t="inlineStr">
        <is>
          <t>Q3</t>
        </is>
      </c>
      <c r="J42" t="inlineStr">
        <is>
          <t>10-Q</t>
        </is>
      </c>
      <c r="K42" t="inlineStr">
        <is>
          <t>2025-11-13</t>
        </is>
      </c>
      <c r="L42" t="inlineStr">
        <is>
          <t>0001769628-25-000062</t>
        </is>
      </c>
    </row>
    <row r="43">
      <c r="A43" t="inlineStr">
        <is>
          <t>cfo</t>
        </is>
      </c>
      <c r="B43" t="inlineStr">
        <is>
          <t>NetCashProvidedByUsedInOperatingActivities</t>
        </is>
      </c>
      <c r="C43" t="inlineStr">
        <is>
          <t>us-gaap</t>
        </is>
      </c>
      <c r="D43" t="inlineStr">
        <is>
          <t>USD</t>
        </is>
      </c>
      <c r="E43" t="inlineStr">
        <is>
          <t>2025-01-01</t>
        </is>
      </c>
      <c r="F43" t="inlineStr">
        <is>
          <t>2025-12-31</t>
        </is>
      </c>
      <c r="G43" t="n">
        <v>3058000000</v>
      </c>
      <c r="H43" t="n">
        <v>2025</v>
      </c>
      <c r="I43" t="inlineStr">
        <is>
          <t>FY</t>
        </is>
      </c>
      <c r="J43" t="inlineStr">
        <is>
          <t>10-K</t>
        </is>
      </c>
      <c r="K43" t="inlineStr">
        <is>
          <t>2026-03-02</t>
        </is>
      </c>
      <c r="L43" t="inlineStr">
        <is>
          <t>0001769628-26-000104</t>
        </is>
      </c>
      <c r="M43" t="inlineStr">
        <is>
          <t>CY2025</t>
        </is>
      </c>
    </row>
    <row r="44">
      <c r="A44" t="inlineStr">
        <is>
          <t>cfo</t>
        </is>
      </c>
      <c r="B44" t="inlineStr">
        <is>
          <t>NetCashProvidedByUsedInOperatingActivities</t>
        </is>
      </c>
      <c r="C44" t="inlineStr">
        <is>
          <t>us-gaap</t>
        </is>
      </c>
      <c r="D44" t="inlineStr">
        <is>
          <t>USD</t>
        </is>
      </c>
      <c r="E44" t="inlineStr">
        <is>
          <t>2026-01-01</t>
        </is>
      </c>
      <c r="F44" t="inlineStr">
        <is>
          <t>2026-03-31</t>
        </is>
      </c>
      <c r="G44" t="n">
        <v>2984000000</v>
      </c>
      <c r="H44" t="n">
        <v>2026</v>
      </c>
      <c r="I44" t="inlineStr">
        <is>
          <t>Q1</t>
        </is>
      </c>
      <c r="J44" t="inlineStr">
        <is>
          <t>10-Q</t>
        </is>
      </c>
      <c r="K44" t="inlineStr">
        <is>
          <t>2026-05-08</t>
        </is>
      </c>
      <c r="L44" t="inlineStr">
        <is>
          <t>0001769628-26-000222</t>
        </is>
      </c>
      <c r="M44" t="inlineStr">
        <is>
          <t>CY2026Q1</t>
        </is>
      </c>
    </row>
    <row r="45">
      <c r="A45" t="inlineStr">
        <is>
          <t>cfo</t>
        </is>
      </c>
      <c r="B45" t="inlineStr">
        <is>
          <t>NetCashProvidedByUsedInOperatingActivities</t>
        </is>
      </c>
      <c r="C45" t="inlineStr">
        <is>
          <t>us-gaap</t>
        </is>
      </c>
      <c r="D45" t="inlineStr">
        <is>
          <t>USD</t>
        </is>
      </c>
      <c r="E45" t="inlineStr">
        <is>
          <t>2026-01-01</t>
        </is>
      </c>
      <c r="F45" t="inlineStr">
        <is>
          <t>2026-06-30</t>
        </is>
      </c>
      <c r="G45" t="n">
        <v>3663000000</v>
      </c>
      <c r="H45" t="n">
        <v>2026</v>
      </c>
      <c r="I45" t="inlineStr">
        <is>
          <t>Q2</t>
        </is>
      </c>
      <c r="J45" t="inlineStr">
        <is>
          <t>10-Q</t>
        </is>
      </c>
      <c r="K45" t="inlineStr">
        <is>
          <t>2026-08-12</t>
        </is>
      </c>
      <c r="L45" t="inlineStr">
        <is>
          <t>0001769628-26-000366</t>
        </is>
      </c>
    </row>
    <row r="46">
      <c r="A46" t="inlineStr">
        <is>
          <t>cost_of_revenue</t>
        </is>
      </c>
      <c r="B46" t="inlineStr">
        <is>
          <t>CostOfGoodsAndServicesSold</t>
        </is>
      </c>
      <c r="C46" t="inlineStr">
        <is>
          <t>us-gaap</t>
        </is>
      </c>
      <c r="D46" t="inlineStr">
        <is>
          <t>USD</t>
        </is>
      </c>
      <c r="E46" t="inlineStr">
        <is>
          <t>2023-01-01</t>
        </is>
      </c>
      <c r="F46" t="inlineStr">
        <is>
          <t>2023-12-31</t>
        </is>
      </c>
      <c r="G46" t="n">
        <v>69000000</v>
      </c>
      <c r="H46" t="n">
        <v>2025</v>
      </c>
      <c r="I46" t="inlineStr">
        <is>
          <t>FY</t>
        </is>
      </c>
      <c r="J46" t="inlineStr">
        <is>
          <t>10-K</t>
        </is>
      </c>
      <c r="K46" t="inlineStr">
        <is>
          <t>2026-03-02</t>
        </is>
      </c>
      <c r="L46" t="inlineStr">
        <is>
          <t>0001769628-26-000104</t>
        </is>
      </c>
      <c r="M46" t="inlineStr">
        <is>
          <t>CY2023</t>
        </is>
      </c>
    </row>
    <row r="47">
      <c r="A47" t="inlineStr">
        <is>
          <t>cost_of_revenue</t>
        </is>
      </c>
      <c r="B47" t="inlineStr">
        <is>
          <t>CostOfGoodsAndServicesSold</t>
        </is>
      </c>
      <c r="C47" t="inlineStr">
        <is>
          <t>us-gaap</t>
        </is>
      </c>
      <c r="D47" t="inlineStr">
        <is>
          <t>USD</t>
        </is>
      </c>
      <c r="E47" t="inlineStr">
        <is>
          <t>2024-01-01</t>
        </is>
      </c>
      <c r="F47" t="inlineStr">
        <is>
          <t>2024-03-31</t>
        </is>
      </c>
      <c r="G47" t="n">
        <v>59220000</v>
      </c>
      <c r="H47" t="n">
        <v>2025</v>
      </c>
      <c r="I47" t="inlineStr">
        <is>
          <t>Q1</t>
        </is>
      </c>
      <c r="J47" t="inlineStr">
        <is>
          <t>10-Q</t>
        </is>
      </c>
      <c r="K47" t="inlineStr">
        <is>
          <t>2025-05-15</t>
        </is>
      </c>
      <c r="L47" t="inlineStr">
        <is>
          <t>0001769628-25-000014</t>
        </is>
      </c>
      <c r="M47" t="inlineStr">
        <is>
          <t>CY2024Q1</t>
        </is>
      </c>
    </row>
    <row r="48">
      <c r="A48" t="inlineStr">
        <is>
          <t>cost_of_revenue</t>
        </is>
      </c>
      <c r="B48" t="inlineStr">
        <is>
          <t>CostOfGoodsAndServicesSold</t>
        </is>
      </c>
      <c r="C48" t="inlineStr">
        <is>
          <t>us-gaap</t>
        </is>
      </c>
      <c r="D48" t="inlineStr">
        <is>
          <t>USD</t>
        </is>
      </c>
      <c r="E48" t="inlineStr">
        <is>
          <t>2024-01-01</t>
        </is>
      </c>
      <c r="F48" t="inlineStr">
        <is>
          <t>2024-06-30</t>
        </is>
      </c>
      <c r="G48" t="n">
        <v>168058000</v>
      </c>
      <c r="H48" t="n">
        <v>2025</v>
      </c>
      <c r="I48" t="inlineStr">
        <is>
          <t>Q2</t>
        </is>
      </c>
      <c r="J48" t="inlineStr">
        <is>
          <t>10-Q</t>
        </is>
      </c>
      <c r="K48" t="inlineStr">
        <is>
          <t>2025-08-13</t>
        </is>
      </c>
      <c r="L48" t="inlineStr">
        <is>
          <t>0001769628-25-000041</t>
        </is>
      </c>
    </row>
    <row r="49">
      <c r="A49" t="inlineStr">
        <is>
          <t>cost_of_revenue</t>
        </is>
      </c>
      <c r="B49" t="inlineStr">
        <is>
          <t>CostOfGoodsAndServicesSold</t>
        </is>
      </c>
      <c r="C49" t="inlineStr">
        <is>
          <t>us-gaap</t>
        </is>
      </c>
      <c r="D49" t="inlineStr">
        <is>
          <t>USD</t>
        </is>
      </c>
      <c r="E49" t="inlineStr">
        <is>
          <t>2024-04-01</t>
        </is>
      </c>
      <c r="F49" t="inlineStr">
        <is>
          <t>2024-06-30</t>
        </is>
      </c>
      <c r="G49" t="n">
        <v>108838000</v>
      </c>
      <c r="H49" t="n">
        <v>2025</v>
      </c>
      <c r="I49" t="inlineStr">
        <is>
          <t>Q2</t>
        </is>
      </c>
      <c r="J49" t="inlineStr">
        <is>
          <t>10-Q</t>
        </is>
      </c>
      <c r="K49" t="inlineStr">
        <is>
          <t>2025-08-13</t>
        </is>
      </c>
      <c r="L49" t="inlineStr">
        <is>
          <t>0001769628-25-000041</t>
        </is>
      </c>
      <c r="M49" t="inlineStr">
        <is>
          <t>CY2024Q2</t>
        </is>
      </c>
    </row>
    <row r="50">
      <c r="A50" t="inlineStr">
        <is>
          <t>cost_of_revenue</t>
        </is>
      </c>
      <c r="B50" t="inlineStr">
        <is>
          <t>CostOfGoodsAndServicesSold</t>
        </is>
      </c>
      <c r="C50" t="inlineStr">
        <is>
          <t>us-gaap</t>
        </is>
      </c>
      <c r="D50" t="inlineStr">
        <is>
          <t>USD</t>
        </is>
      </c>
      <c r="E50" t="inlineStr">
        <is>
          <t>2024-01-01</t>
        </is>
      </c>
      <c r="F50" t="inlineStr">
        <is>
          <t>2024-09-30</t>
        </is>
      </c>
      <c r="G50" t="n">
        <v>311192000</v>
      </c>
      <c r="H50" t="n">
        <v>2025</v>
      </c>
      <c r="I50" t="inlineStr">
        <is>
          <t>Q3</t>
        </is>
      </c>
      <c r="J50" t="inlineStr">
        <is>
          <t>10-Q</t>
        </is>
      </c>
      <c r="K50" t="inlineStr">
        <is>
          <t>2025-11-13</t>
        </is>
      </c>
      <c r="L50" t="inlineStr">
        <is>
          <t>0001769628-25-000062</t>
        </is>
      </c>
    </row>
    <row r="51">
      <c r="A51" t="inlineStr">
        <is>
          <t>cost_of_revenue</t>
        </is>
      </c>
      <c r="B51" t="inlineStr">
        <is>
          <t>CostOfGoodsAndServicesSold</t>
        </is>
      </c>
      <c r="C51" t="inlineStr">
        <is>
          <t>us-gaap</t>
        </is>
      </c>
      <c r="D51" t="inlineStr">
        <is>
          <t>USD</t>
        </is>
      </c>
      <c r="E51" t="inlineStr">
        <is>
          <t>2024-07-01</t>
        </is>
      </c>
      <c r="F51" t="inlineStr">
        <is>
          <t>2024-09-30</t>
        </is>
      </c>
      <c r="G51" t="n">
        <v>143134000</v>
      </c>
      <c r="H51" t="n">
        <v>2025</v>
      </c>
      <c r="I51" t="inlineStr">
        <is>
          <t>Q3</t>
        </is>
      </c>
      <c r="J51" t="inlineStr">
        <is>
          <t>10-Q</t>
        </is>
      </c>
      <c r="K51" t="inlineStr">
        <is>
          <t>2025-11-13</t>
        </is>
      </c>
      <c r="L51" t="inlineStr">
        <is>
          <t>0001769628-25-000062</t>
        </is>
      </c>
      <c r="M51" t="inlineStr">
        <is>
          <t>CY2024Q3</t>
        </is>
      </c>
    </row>
    <row r="52">
      <c r="A52" t="inlineStr">
        <is>
          <t>cost_of_revenue</t>
        </is>
      </c>
      <c r="B52" t="inlineStr">
        <is>
          <t>CostOfGoodsAndServicesSold</t>
        </is>
      </c>
      <c r="C52" t="inlineStr">
        <is>
          <t>us-gaap</t>
        </is>
      </c>
      <c r="D52" t="inlineStr">
        <is>
          <t>USD</t>
        </is>
      </c>
      <c r="E52" t="inlineStr">
        <is>
          <t>2024-01-01</t>
        </is>
      </c>
      <c r="F52" t="inlineStr">
        <is>
          <t>2024-12-31</t>
        </is>
      </c>
      <c r="G52" t="n">
        <v>493000000</v>
      </c>
      <c r="H52" t="n">
        <v>2025</v>
      </c>
      <c r="I52" t="inlineStr">
        <is>
          <t>FY</t>
        </is>
      </c>
      <c r="J52" t="inlineStr">
        <is>
          <t>10-K</t>
        </is>
      </c>
      <c r="K52" t="inlineStr">
        <is>
          <t>2026-03-02</t>
        </is>
      </c>
      <c r="L52" t="inlineStr">
        <is>
          <t>0001769628-26-000104</t>
        </is>
      </c>
      <c r="M52" t="inlineStr">
        <is>
          <t>CY2024</t>
        </is>
      </c>
    </row>
    <row r="53">
      <c r="A53" t="inlineStr">
        <is>
          <t>cost_of_revenue</t>
        </is>
      </c>
      <c r="B53" t="inlineStr">
        <is>
          <t>CostOfGoodsAndServicesSold</t>
        </is>
      </c>
      <c r="C53" t="inlineStr">
        <is>
          <t>us-gaap</t>
        </is>
      </c>
      <c r="D53" t="inlineStr">
        <is>
          <t>USD</t>
        </is>
      </c>
      <c r="E53" t="inlineStr">
        <is>
          <t>2025-01-01</t>
        </is>
      </c>
      <c r="F53" t="inlineStr">
        <is>
          <t>2025-03-31</t>
        </is>
      </c>
      <c r="G53" t="n">
        <v>262394000</v>
      </c>
      <c r="H53" t="n">
        <v>2025</v>
      </c>
      <c r="I53" t="inlineStr">
        <is>
          <t>Q1</t>
        </is>
      </c>
      <c r="J53" t="inlineStr">
        <is>
          <t>10-Q</t>
        </is>
      </c>
      <c r="K53" t="inlineStr">
        <is>
          <t>2025-05-15</t>
        </is>
      </c>
      <c r="L53" t="inlineStr">
        <is>
          <t>0001769628-25-000014</t>
        </is>
      </c>
    </row>
    <row r="54">
      <c r="A54" t="inlineStr">
        <is>
          <t>cost_of_revenue</t>
        </is>
      </c>
      <c r="B54" t="inlineStr">
        <is>
          <t>CostOfGoodsAndServicesSold</t>
        </is>
      </c>
      <c r="C54" t="inlineStr">
        <is>
          <t>us-gaap</t>
        </is>
      </c>
      <c r="D54" t="inlineStr">
        <is>
          <t>USD</t>
        </is>
      </c>
      <c r="E54" t="inlineStr">
        <is>
          <t>2025-01-01</t>
        </is>
      </c>
      <c r="F54" t="inlineStr">
        <is>
          <t>2025-03-31</t>
        </is>
      </c>
      <c r="G54" t="n">
        <v>262000000</v>
      </c>
      <c r="H54" t="n">
        <v>2026</v>
      </c>
      <c r="I54" t="inlineStr">
        <is>
          <t>Q1</t>
        </is>
      </c>
      <c r="J54" t="inlineStr">
        <is>
          <t>10-Q</t>
        </is>
      </c>
      <c r="K54" t="inlineStr">
        <is>
          <t>2026-05-08</t>
        </is>
      </c>
      <c r="L54" t="inlineStr">
        <is>
          <t>0001769628-26-000222</t>
        </is>
      </c>
      <c r="M54" t="inlineStr">
        <is>
          <t>CY2025Q1</t>
        </is>
      </c>
    </row>
    <row r="55">
      <c r="A55" t="inlineStr">
        <is>
          <t>cost_of_revenue</t>
        </is>
      </c>
      <c r="B55" t="inlineStr">
        <is>
          <t>CostOfGoodsAndServicesSold</t>
        </is>
      </c>
      <c r="C55" t="inlineStr">
        <is>
          <t>us-gaap</t>
        </is>
      </c>
      <c r="D55" t="inlineStr">
        <is>
          <t>USD</t>
        </is>
      </c>
      <c r="E55" t="inlineStr">
        <is>
          <t>2025-01-01</t>
        </is>
      </c>
      <c r="F55" t="inlineStr">
        <is>
          <t>2025-06-30</t>
        </is>
      </c>
      <c r="G55" t="n">
        <v>575061000</v>
      </c>
      <c r="H55" t="n">
        <v>2025</v>
      </c>
      <c r="I55" t="inlineStr">
        <is>
          <t>Q2</t>
        </is>
      </c>
      <c r="J55" t="inlineStr">
        <is>
          <t>10-Q</t>
        </is>
      </c>
      <c r="K55" t="inlineStr">
        <is>
          <t>2025-08-13</t>
        </is>
      </c>
      <c r="L55" t="inlineStr">
        <is>
          <t>0001769628-25-000041</t>
        </is>
      </c>
    </row>
    <row r="56">
      <c r="A56" t="inlineStr">
        <is>
          <t>cost_of_revenue</t>
        </is>
      </c>
      <c r="B56" t="inlineStr">
        <is>
          <t>CostOfGoodsAndServicesSold</t>
        </is>
      </c>
      <c r="C56" t="inlineStr">
        <is>
          <t>us-gaap</t>
        </is>
      </c>
      <c r="D56" t="inlineStr">
        <is>
          <t>USD</t>
        </is>
      </c>
      <c r="E56" t="inlineStr">
        <is>
          <t>2025-04-01</t>
        </is>
      </c>
      <c r="F56" t="inlineStr">
        <is>
          <t>2025-06-30</t>
        </is>
      </c>
      <c r="G56" t="n">
        <v>312667000</v>
      </c>
      <c r="H56" t="n">
        <v>2025</v>
      </c>
      <c r="I56" t="inlineStr">
        <is>
          <t>Q2</t>
        </is>
      </c>
      <c r="J56" t="inlineStr">
        <is>
          <t>10-Q</t>
        </is>
      </c>
      <c r="K56" t="inlineStr">
        <is>
          <t>2025-08-13</t>
        </is>
      </c>
      <c r="L56" t="inlineStr">
        <is>
          <t>0001769628-25-000041</t>
        </is>
      </c>
    </row>
    <row r="57">
      <c r="A57" t="inlineStr">
        <is>
          <t>cost_of_revenue</t>
        </is>
      </c>
      <c r="B57" t="inlineStr">
        <is>
          <t>CostOfGoodsAndServicesSold</t>
        </is>
      </c>
      <c r="C57" t="inlineStr">
        <is>
          <t>us-gaap</t>
        </is>
      </c>
      <c r="D57" t="inlineStr">
        <is>
          <t>USD</t>
        </is>
      </c>
      <c r="E57" t="inlineStr">
        <is>
          <t>2025-01-01</t>
        </is>
      </c>
      <c r="F57" t="inlineStr">
        <is>
          <t>2025-06-30</t>
        </is>
      </c>
      <c r="G57" t="n">
        <v>575000000</v>
      </c>
      <c r="H57" t="n">
        <v>2026</v>
      </c>
      <c r="I57" t="inlineStr">
        <is>
          <t>Q2</t>
        </is>
      </c>
      <c r="J57" t="inlineStr">
        <is>
          <t>10-Q</t>
        </is>
      </c>
      <c r="K57" t="inlineStr">
        <is>
          <t>2026-08-12</t>
        </is>
      </c>
      <c r="L57" t="inlineStr">
        <is>
          <t>0001769628-26-000366</t>
        </is>
      </c>
    </row>
    <row r="58">
      <c r="A58" t="inlineStr">
        <is>
          <t>cost_of_revenue</t>
        </is>
      </c>
      <c r="B58" t="inlineStr">
        <is>
          <t>CostOfGoodsAndServicesSold</t>
        </is>
      </c>
      <c r="C58" t="inlineStr">
        <is>
          <t>us-gaap</t>
        </is>
      </c>
      <c r="D58" t="inlineStr">
        <is>
          <t>USD</t>
        </is>
      </c>
      <c r="E58" t="inlineStr">
        <is>
          <t>2025-04-01</t>
        </is>
      </c>
      <c r="F58" t="inlineStr">
        <is>
          <t>2025-06-30</t>
        </is>
      </c>
      <c r="G58" t="n">
        <v>313000000</v>
      </c>
      <c r="H58" t="n">
        <v>2026</v>
      </c>
      <c r="I58" t="inlineStr">
        <is>
          <t>Q2</t>
        </is>
      </c>
      <c r="J58" t="inlineStr">
        <is>
          <t>10-Q</t>
        </is>
      </c>
      <c r="K58" t="inlineStr">
        <is>
          <t>2026-08-12</t>
        </is>
      </c>
      <c r="L58" t="inlineStr">
        <is>
          <t>0001769628-26-000366</t>
        </is>
      </c>
      <c r="M58" t="inlineStr">
        <is>
          <t>CY2025Q2</t>
        </is>
      </c>
    </row>
    <row r="59">
      <c r="A59" t="inlineStr">
        <is>
          <t>cost_of_revenue</t>
        </is>
      </c>
      <c r="B59" t="inlineStr">
        <is>
          <t>CostOfGoodsAndServicesSold</t>
        </is>
      </c>
      <c r="C59" t="inlineStr">
        <is>
          <t>us-gaap</t>
        </is>
      </c>
      <c r="D59" t="inlineStr">
        <is>
          <t>USD</t>
        </is>
      </c>
      <c r="E59" t="inlineStr">
        <is>
          <t>2025-01-01</t>
        </is>
      </c>
      <c r="F59" t="inlineStr">
        <is>
          <t>2025-09-30</t>
        </is>
      </c>
      <c r="G59" t="n">
        <v>943885000</v>
      </c>
      <c r="H59" t="n">
        <v>2025</v>
      </c>
      <c r="I59" t="inlineStr">
        <is>
          <t>Q3</t>
        </is>
      </c>
      <c r="J59" t="inlineStr">
        <is>
          <t>10-Q</t>
        </is>
      </c>
      <c r="K59" t="inlineStr">
        <is>
          <t>2025-11-13</t>
        </is>
      </c>
      <c r="L59" t="inlineStr">
        <is>
          <t>0001769628-25-000062</t>
        </is>
      </c>
    </row>
    <row r="60">
      <c r="A60" t="inlineStr">
        <is>
          <t>cost_of_revenue</t>
        </is>
      </c>
      <c r="B60" t="inlineStr">
        <is>
          <t>CostOfGoodsAndServicesSold</t>
        </is>
      </c>
      <c r="C60" t="inlineStr">
        <is>
          <t>us-gaap</t>
        </is>
      </c>
      <c r="D60" t="inlineStr">
        <is>
          <t>USD</t>
        </is>
      </c>
      <c r="E60" t="inlineStr">
        <is>
          <t>2025-07-01</t>
        </is>
      </c>
      <c r="F60" t="inlineStr">
        <is>
          <t>2025-09-30</t>
        </is>
      </c>
      <c r="G60" t="n">
        <v>368824000</v>
      </c>
      <c r="H60" t="n">
        <v>2025</v>
      </c>
      <c r="I60" t="inlineStr">
        <is>
          <t>Q3</t>
        </is>
      </c>
      <c r="J60" t="inlineStr">
        <is>
          <t>10-Q</t>
        </is>
      </c>
      <c r="K60" t="inlineStr">
        <is>
          <t>2025-11-13</t>
        </is>
      </c>
      <c r="L60" t="inlineStr">
        <is>
          <t>0001769628-25-000062</t>
        </is>
      </c>
      <c r="M60" t="inlineStr">
        <is>
          <t>CY2025Q3</t>
        </is>
      </c>
    </row>
    <row r="61">
      <c r="A61" t="inlineStr">
        <is>
          <t>cost_of_revenue</t>
        </is>
      </c>
      <c r="B61" t="inlineStr">
        <is>
          <t>CostOfGoodsAndServicesSold</t>
        </is>
      </c>
      <c r="C61" t="inlineStr">
        <is>
          <t>us-gaap</t>
        </is>
      </c>
      <c r="D61" t="inlineStr">
        <is>
          <t>USD</t>
        </is>
      </c>
      <c r="E61" t="inlineStr">
        <is>
          <t>2025-01-01</t>
        </is>
      </c>
      <c r="F61" t="inlineStr">
        <is>
          <t>2025-12-31</t>
        </is>
      </c>
      <c r="G61" t="n">
        <v>1453000000</v>
      </c>
      <c r="H61" t="n">
        <v>2025</v>
      </c>
      <c r="I61" t="inlineStr">
        <is>
          <t>FY</t>
        </is>
      </c>
      <c r="J61" t="inlineStr">
        <is>
          <t>10-K</t>
        </is>
      </c>
      <c r="K61" t="inlineStr">
        <is>
          <t>2026-03-02</t>
        </is>
      </c>
      <c r="L61" t="inlineStr">
        <is>
          <t>0001769628-26-000104</t>
        </is>
      </c>
      <c r="M61" t="inlineStr">
        <is>
          <t>CY2025</t>
        </is>
      </c>
    </row>
    <row r="62">
      <c r="A62" t="inlineStr">
        <is>
          <t>cost_of_revenue</t>
        </is>
      </c>
      <c r="B62" t="inlineStr">
        <is>
          <t>CostOfGoodsAndServicesSold</t>
        </is>
      </c>
      <c r="C62" t="inlineStr">
        <is>
          <t>us-gaap</t>
        </is>
      </c>
      <c r="D62" t="inlineStr">
        <is>
          <t>USD</t>
        </is>
      </c>
      <c r="E62" t="inlineStr">
        <is>
          <t>2026-01-01</t>
        </is>
      </c>
      <c r="F62" t="inlineStr">
        <is>
          <t>2026-03-31</t>
        </is>
      </c>
      <c r="G62" t="n">
        <v>716000000</v>
      </c>
      <c r="H62" t="n">
        <v>2026</v>
      </c>
      <c r="I62" t="inlineStr">
        <is>
          <t>Q1</t>
        </is>
      </c>
      <c r="J62" t="inlineStr">
        <is>
          <t>10-Q</t>
        </is>
      </c>
      <c r="K62" t="inlineStr">
        <is>
          <t>2026-05-08</t>
        </is>
      </c>
      <c r="L62" t="inlineStr">
        <is>
          <t>0001769628-26-000222</t>
        </is>
      </c>
      <c r="M62" t="inlineStr">
        <is>
          <t>CY2026Q1</t>
        </is>
      </c>
    </row>
    <row r="63">
      <c r="A63" t="inlineStr">
        <is>
          <t>cost_of_revenue</t>
        </is>
      </c>
      <c r="B63" t="inlineStr">
        <is>
          <t>CostOfGoodsAndServicesSold</t>
        </is>
      </c>
      <c r="C63" t="inlineStr">
        <is>
          <t>us-gaap</t>
        </is>
      </c>
      <c r="D63" t="inlineStr">
        <is>
          <t>USD</t>
        </is>
      </c>
      <c r="E63" t="inlineStr">
        <is>
          <t>2026-01-01</t>
        </is>
      </c>
      <c r="F63" t="inlineStr">
        <is>
          <t>2026-06-30</t>
        </is>
      </c>
      <c r="G63" t="n">
        <v>1595000000</v>
      </c>
      <c r="H63" t="n">
        <v>2026</v>
      </c>
      <c r="I63" t="inlineStr">
        <is>
          <t>Q2</t>
        </is>
      </c>
      <c r="J63" t="inlineStr">
        <is>
          <t>10-Q</t>
        </is>
      </c>
      <c r="K63" t="inlineStr">
        <is>
          <t>2026-08-12</t>
        </is>
      </c>
      <c r="L63" t="inlineStr">
        <is>
          <t>0001769628-26-000366</t>
        </is>
      </c>
    </row>
    <row r="64">
      <c r="A64" t="inlineStr">
        <is>
          <t>cost_of_revenue</t>
        </is>
      </c>
      <c r="B64" t="inlineStr">
        <is>
          <t>CostOfGoodsAndServicesSold</t>
        </is>
      </c>
      <c r="C64" t="inlineStr">
        <is>
          <t>us-gaap</t>
        </is>
      </c>
      <c r="D64" t="inlineStr">
        <is>
          <t>USD</t>
        </is>
      </c>
      <c r="E64" t="inlineStr">
        <is>
          <t>2026-04-01</t>
        </is>
      </c>
      <c r="F64" t="inlineStr">
        <is>
          <t>2026-06-30</t>
        </is>
      </c>
      <c r="G64" t="n">
        <v>879000000</v>
      </c>
      <c r="H64" t="n">
        <v>2026</v>
      </c>
      <c r="I64" t="inlineStr">
        <is>
          <t>Q2</t>
        </is>
      </c>
      <c r="J64" t="inlineStr">
        <is>
          <t>10-Q</t>
        </is>
      </c>
      <c r="K64" t="inlineStr">
        <is>
          <t>2026-08-12</t>
        </is>
      </c>
      <c r="L64" t="inlineStr">
        <is>
          <t>0001769628-26-000366</t>
        </is>
      </c>
      <c r="M64" t="inlineStr">
        <is>
          <t>CY2026Q2</t>
        </is>
      </c>
    </row>
    <row r="65">
      <c r="A65" t="inlineStr">
        <is>
          <t>d_and_a</t>
        </is>
      </c>
      <c r="B65" t="inlineStr">
        <is>
          <t>DepreciationDepletionAndAmortization</t>
        </is>
      </c>
      <c r="C65" t="inlineStr">
        <is>
          <t>us-gaap</t>
        </is>
      </c>
      <c r="D65" t="inlineStr">
        <is>
          <t>USD</t>
        </is>
      </c>
      <c r="E65" t="inlineStr">
        <is>
          <t>2023-01-01</t>
        </is>
      </c>
      <c r="F65" t="inlineStr">
        <is>
          <t>2023-12-31</t>
        </is>
      </c>
      <c r="G65" t="n">
        <v>103000000</v>
      </c>
      <c r="H65" t="n">
        <v>2025</v>
      </c>
      <c r="I65" t="inlineStr">
        <is>
          <t>FY</t>
        </is>
      </c>
      <c r="J65" t="inlineStr">
        <is>
          <t>10-K</t>
        </is>
      </c>
      <c r="K65" t="inlineStr">
        <is>
          <t>2026-03-02</t>
        </is>
      </c>
      <c r="L65" t="inlineStr">
        <is>
          <t>0001769628-26-000104</t>
        </is>
      </c>
      <c r="M65" t="inlineStr">
        <is>
          <t>CY2023</t>
        </is>
      </c>
    </row>
    <row r="66">
      <c r="A66" t="inlineStr">
        <is>
          <t>d_and_a</t>
        </is>
      </c>
      <c r="B66" t="inlineStr">
        <is>
          <t>DepreciationDepletionAndAmortization</t>
        </is>
      </c>
      <c r="C66" t="inlineStr">
        <is>
          <t>us-gaap</t>
        </is>
      </c>
      <c r="D66" t="inlineStr">
        <is>
          <t>USD</t>
        </is>
      </c>
      <c r="E66" t="inlineStr">
        <is>
          <t>2024-01-01</t>
        </is>
      </c>
      <c r="F66" t="inlineStr">
        <is>
          <t>2024-03-31</t>
        </is>
      </c>
      <c r="G66" t="n">
        <v>79510000</v>
      </c>
      <c r="H66" t="n">
        <v>2025</v>
      </c>
      <c r="I66" t="inlineStr">
        <is>
          <t>Q1</t>
        </is>
      </c>
      <c r="J66" t="inlineStr">
        <is>
          <t>10-Q</t>
        </is>
      </c>
      <c r="K66" t="inlineStr">
        <is>
          <t>2025-05-15</t>
        </is>
      </c>
      <c r="L66" t="inlineStr">
        <is>
          <t>0001769628-25-000014</t>
        </is>
      </c>
      <c r="M66" t="inlineStr">
        <is>
          <t>CY2024Q1</t>
        </is>
      </c>
    </row>
    <row r="67">
      <c r="A67" t="inlineStr">
        <is>
          <t>d_and_a</t>
        </is>
      </c>
      <c r="B67" t="inlineStr">
        <is>
          <t>DepreciationDepletionAndAmortization</t>
        </is>
      </c>
      <c r="C67" t="inlineStr">
        <is>
          <t>us-gaap</t>
        </is>
      </c>
      <c r="D67" t="inlineStr">
        <is>
          <t>USD</t>
        </is>
      </c>
      <c r="E67" t="inlineStr">
        <is>
          <t>2024-01-01</t>
        </is>
      </c>
      <c r="F67" t="inlineStr">
        <is>
          <t>2024-06-30</t>
        </is>
      </c>
      <c r="G67" t="n">
        <v>243970000</v>
      </c>
      <c r="H67" t="n">
        <v>2025</v>
      </c>
      <c r="I67" t="inlineStr">
        <is>
          <t>Q2</t>
        </is>
      </c>
      <c r="J67" t="inlineStr">
        <is>
          <t>10-Q</t>
        </is>
      </c>
      <c r="K67" t="inlineStr">
        <is>
          <t>2025-08-13</t>
        </is>
      </c>
      <c r="L67" t="inlineStr">
        <is>
          <t>0001769628-25-000041</t>
        </is>
      </c>
    </row>
    <row r="68">
      <c r="A68" t="inlineStr">
        <is>
          <t>d_and_a</t>
        </is>
      </c>
      <c r="B68" t="inlineStr">
        <is>
          <t>DepreciationDepletionAndAmortization</t>
        </is>
      </c>
      <c r="C68" t="inlineStr">
        <is>
          <t>us-gaap</t>
        </is>
      </c>
      <c r="D68" t="inlineStr">
        <is>
          <t>USD</t>
        </is>
      </c>
      <c r="E68" t="inlineStr">
        <is>
          <t>2024-01-01</t>
        </is>
      </c>
      <c r="F68" t="inlineStr">
        <is>
          <t>2024-09-30</t>
        </is>
      </c>
      <c r="G68" t="n">
        <v>497994000</v>
      </c>
      <c r="H68" t="n">
        <v>2025</v>
      </c>
      <c r="I68" t="inlineStr">
        <is>
          <t>Q3</t>
        </is>
      </c>
      <c r="J68" t="inlineStr">
        <is>
          <t>10-Q</t>
        </is>
      </c>
      <c r="K68" t="inlineStr">
        <is>
          <t>2025-11-13</t>
        </is>
      </c>
      <c r="L68" t="inlineStr">
        <is>
          <t>0001769628-25-000062</t>
        </is>
      </c>
    </row>
    <row r="69">
      <c r="A69" t="inlineStr">
        <is>
          <t>d_and_a</t>
        </is>
      </c>
      <c r="B69" t="inlineStr">
        <is>
          <t>DepreciationDepletionAndAmortization</t>
        </is>
      </c>
      <c r="C69" t="inlineStr">
        <is>
          <t>us-gaap</t>
        </is>
      </c>
      <c r="D69" t="inlineStr">
        <is>
          <t>USD</t>
        </is>
      </c>
      <c r="E69" t="inlineStr">
        <is>
          <t>2024-01-01</t>
        </is>
      </c>
      <c r="F69" t="inlineStr">
        <is>
          <t>2024-12-31</t>
        </is>
      </c>
      <c r="G69" t="n">
        <v>863000000</v>
      </c>
      <c r="H69" t="n">
        <v>2025</v>
      </c>
      <c r="I69" t="inlineStr">
        <is>
          <t>FY</t>
        </is>
      </c>
      <c r="J69" t="inlineStr">
        <is>
          <t>10-K</t>
        </is>
      </c>
      <c r="K69" t="inlineStr">
        <is>
          <t>2026-03-02</t>
        </is>
      </c>
      <c r="L69" t="inlineStr">
        <is>
          <t>0001769628-26-000104</t>
        </is>
      </c>
      <c r="M69" t="inlineStr">
        <is>
          <t>CY2024</t>
        </is>
      </c>
    </row>
    <row r="70">
      <c r="A70" t="inlineStr">
        <is>
          <t>d_and_a</t>
        </is>
      </c>
      <c r="B70" t="inlineStr">
        <is>
          <t>DepreciationDepletionAndAmortization</t>
        </is>
      </c>
      <c r="C70" t="inlineStr">
        <is>
          <t>us-gaap</t>
        </is>
      </c>
      <c r="D70" t="inlineStr">
        <is>
          <t>USD</t>
        </is>
      </c>
      <c r="E70" t="inlineStr">
        <is>
          <t>2025-01-01</t>
        </is>
      </c>
      <c r="F70" t="inlineStr">
        <is>
          <t>2025-03-31</t>
        </is>
      </c>
      <c r="G70" t="n">
        <v>443497000</v>
      </c>
      <c r="H70" t="n">
        <v>2025</v>
      </c>
      <c r="I70" t="inlineStr">
        <is>
          <t>Q1</t>
        </is>
      </c>
      <c r="J70" t="inlineStr">
        <is>
          <t>10-Q</t>
        </is>
      </c>
      <c r="K70" t="inlineStr">
        <is>
          <t>2025-05-15</t>
        </is>
      </c>
      <c r="L70" t="inlineStr">
        <is>
          <t>0001769628-25-000014</t>
        </is>
      </c>
    </row>
    <row r="71">
      <c r="A71" t="inlineStr">
        <is>
          <t>d_and_a</t>
        </is>
      </c>
      <c r="B71" t="inlineStr">
        <is>
          <t>DepreciationDepletionAndAmortization</t>
        </is>
      </c>
      <c r="C71" t="inlineStr">
        <is>
          <t>us-gaap</t>
        </is>
      </c>
      <c r="D71" t="inlineStr">
        <is>
          <t>USD</t>
        </is>
      </c>
      <c r="E71" t="inlineStr">
        <is>
          <t>2025-01-01</t>
        </is>
      </c>
      <c r="F71" t="inlineStr">
        <is>
          <t>2025-03-31</t>
        </is>
      </c>
      <c r="G71" t="n">
        <v>443000000</v>
      </c>
      <c r="H71" t="n">
        <v>2026</v>
      </c>
      <c r="I71" t="inlineStr">
        <is>
          <t>Q1</t>
        </is>
      </c>
      <c r="J71" t="inlineStr">
        <is>
          <t>10-Q</t>
        </is>
      </c>
      <c r="K71" t="inlineStr">
        <is>
          <t>2026-05-08</t>
        </is>
      </c>
      <c r="L71" t="inlineStr">
        <is>
          <t>0001769628-26-000222</t>
        </is>
      </c>
      <c r="M71" t="inlineStr">
        <is>
          <t>CY2025Q1</t>
        </is>
      </c>
    </row>
    <row r="72">
      <c r="A72" t="inlineStr">
        <is>
          <t>d_and_a</t>
        </is>
      </c>
      <c r="B72" t="inlineStr">
        <is>
          <t>DepreciationDepletionAndAmortization</t>
        </is>
      </c>
      <c r="C72" t="inlineStr">
        <is>
          <t>us-gaap</t>
        </is>
      </c>
      <c r="D72" t="inlineStr">
        <is>
          <t>USD</t>
        </is>
      </c>
      <c r="E72" t="inlineStr">
        <is>
          <t>2025-01-01</t>
        </is>
      </c>
      <c r="F72" t="inlineStr">
        <is>
          <t>2025-06-30</t>
        </is>
      </c>
      <c r="G72" t="n">
        <v>1002978000</v>
      </c>
      <c r="H72" t="n">
        <v>2025</v>
      </c>
      <c r="I72" t="inlineStr">
        <is>
          <t>Q2</t>
        </is>
      </c>
      <c r="J72" t="inlineStr">
        <is>
          <t>10-Q</t>
        </is>
      </c>
      <c r="K72" t="inlineStr">
        <is>
          <t>2025-08-13</t>
        </is>
      </c>
      <c r="L72" t="inlineStr">
        <is>
          <t>0001769628-25-000041</t>
        </is>
      </c>
    </row>
    <row r="73">
      <c r="A73" t="inlineStr">
        <is>
          <t>d_and_a</t>
        </is>
      </c>
      <c r="B73" t="inlineStr">
        <is>
          <t>DepreciationDepletionAndAmortization</t>
        </is>
      </c>
      <c r="C73" t="inlineStr">
        <is>
          <t>us-gaap</t>
        </is>
      </c>
      <c r="D73" t="inlineStr">
        <is>
          <t>USD</t>
        </is>
      </c>
      <c r="E73" t="inlineStr">
        <is>
          <t>2025-01-01</t>
        </is>
      </c>
      <c r="F73" t="inlineStr">
        <is>
          <t>2025-06-30</t>
        </is>
      </c>
      <c r="G73" t="n">
        <v>1003000000</v>
      </c>
      <c r="H73" t="n">
        <v>2026</v>
      </c>
      <c r="I73" t="inlineStr">
        <is>
          <t>Q2</t>
        </is>
      </c>
      <c r="J73" t="inlineStr">
        <is>
          <t>10-Q</t>
        </is>
      </c>
      <c r="K73" t="inlineStr">
        <is>
          <t>2026-08-12</t>
        </is>
      </c>
      <c r="L73" t="inlineStr">
        <is>
          <t>0001769628-26-000366</t>
        </is>
      </c>
    </row>
    <row r="74">
      <c r="A74" t="inlineStr">
        <is>
          <t>d_and_a</t>
        </is>
      </c>
      <c r="B74" t="inlineStr">
        <is>
          <t>DepreciationDepletionAndAmortization</t>
        </is>
      </c>
      <c r="C74" t="inlineStr">
        <is>
          <t>us-gaap</t>
        </is>
      </c>
      <c r="D74" t="inlineStr">
        <is>
          <t>USD</t>
        </is>
      </c>
      <c r="E74" t="inlineStr">
        <is>
          <t>2025-01-01</t>
        </is>
      </c>
      <c r="F74" t="inlineStr">
        <is>
          <t>2025-09-30</t>
        </is>
      </c>
      <c r="G74" t="n">
        <v>1633457000</v>
      </c>
      <c r="H74" t="n">
        <v>2025</v>
      </c>
      <c r="I74" t="inlineStr">
        <is>
          <t>Q3</t>
        </is>
      </c>
      <c r="J74" t="inlineStr">
        <is>
          <t>10-Q</t>
        </is>
      </c>
      <c r="K74" t="inlineStr">
        <is>
          <t>2025-11-13</t>
        </is>
      </c>
      <c r="L74" t="inlineStr">
        <is>
          <t>0001769628-25-000062</t>
        </is>
      </c>
    </row>
    <row r="75">
      <c r="A75" t="inlineStr">
        <is>
          <t>d_and_a</t>
        </is>
      </c>
      <c r="B75" t="inlineStr">
        <is>
          <t>DepreciationDepletionAndAmortization</t>
        </is>
      </c>
      <c r="C75" t="inlineStr">
        <is>
          <t>us-gaap</t>
        </is>
      </c>
      <c r="D75" t="inlineStr">
        <is>
          <t>USD</t>
        </is>
      </c>
      <c r="E75" t="inlineStr">
        <is>
          <t>2025-01-01</t>
        </is>
      </c>
      <c r="F75" t="inlineStr">
        <is>
          <t>2025-12-31</t>
        </is>
      </c>
      <c r="G75" t="n">
        <v>2454000000</v>
      </c>
      <c r="H75" t="n">
        <v>2025</v>
      </c>
      <c r="I75" t="inlineStr">
        <is>
          <t>FY</t>
        </is>
      </c>
      <c r="J75" t="inlineStr">
        <is>
          <t>10-K</t>
        </is>
      </c>
      <c r="K75" t="inlineStr">
        <is>
          <t>2026-03-02</t>
        </is>
      </c>
      <c r="L75" t="inlineStr">
        <is>
          <t>0001769628-26-000104</t>
        </is>
      </c>
      <c r="M75" t="inlineStr">
        <is>
          <t>CY2025</t>
        </is>
      </c>
    </row>
    <row r="76">
      <c r="A76" t="inlineStr">
        <is>
          <t>d_and_a</t>
        </is>
      </c>
      <c r="B76" t="inlineStr">
        <is>
          <t>DepreciationDepletionAndAmortization</t>
        </is>
      </c>
      <c r="C76" t="inlineStr">
        <is>
          <t>us-gaap</t>
        </is>
      </c>
      <c r="D76" t="inlineStr">
        <is>
          <t>USD</t>
        </is>
      </c>
      <c r="E76" t="inlineStr">
        <is>
          <t>2026-01-01</t>
        </is>
      </c>
      <c r="F76" t="inlineStr">
        <is>
          <t>2026-03-31</t>
        </is>
      </c>
      <c r="G76" t="n">
        <v>1147000000</v>
      </c>
      <c r="H76" t="n">
        <v>2026</v>
      </c>
      <c r="I76" t="inlineStr">
        <is>
          <t>Q1</t>
        </is>
      </c>
      <c r="J76" t="inlineStr">
        <is>
          <t>10-Q</t>
        </is>
      </c>
      <c r="K76" t="inlineStr">
        <is>
          <t>2026-05-08</t>
        </is>
      </c>
      <c r="L76" t="inlineStr">
        <is>
          <t>0001769628-26-000222</t>
        </is>
      </c>
      <c r="M76" t="inlineStr">
        <is>
          <t>CY2026Q1</t>
        </is>
      </c>
    </row>
    <row r="77">
      <c r="A77" t="inlineStr">
        <is>
          <t>d_and_a</t>
        </is>
      </c>
      <c r="B77" t="inlineStr">
        <is>
          <t>DepreciationDepletionAndAmortization</t>
        </is>
      </c>
      <c r="C77" t="inlineStr">
        <is>
          <t>us-gaap</t>
        </is>
      </c>
      <c r="D77" t="inlineStr">
        <is>
          <t>USD</t>
        </is>
      </c>
      <c r="E77" t="inlineStr">
        <is>
          <t>2026-01-01</t>
        </is>
      </c>
      <c r="F77" t="inlineStr">
        <is>
          <t>2026-06-30</t>
        </is>
      </c>
      <c r="G77" t="n">
        <v>2540000000</v>
      </c>
      <c r="H77" t="n">
        <v>2026</v>
      </c>
      <c r="I77" t="inlineStr">
        <is>
          <t>Q2</t>
        </is>
      </c>
      <c r="J77" t="inlineStr">
        <is>
          <t>10-Q</t>
        </is>
      </c>
      <c r="K77" t="inlineStr">
        <is>
          <t>2026-08-12</t>
        </is>
      </c>
      <c r="L77" t="inlineStr">
        <is>
          <t>0001769628-26-000366</t>
        </is>
      </c>
    </row>
    <row r="78">
      <c r="A78" t="inlineStr">
        <is>
          <t>interest_expense</t>
        </is>
      </c>
      <c r="B78" t="inlineStr">
        <is>
          <t>InterestExpenseDebt</t>
        </is>
      </c>
      <c r="C78" t="inlineStr">
        <is>
          <t>us-gaap</t>
        </is>
      </c>
      <c r="D78" t="inlineStr">
        <is>
          <t>USD</t>
        </is>
      </c>
      <c r="E78" t="inlineStr">
        <is>
          <t>2023-01-01</t>
        </is>
      </c>
      <c r="F78" t="inlineStr">
        <is>
          <t>2023-12-31</t>
        </is>
      </c>
      <c r="G78" t="n">
        <v>27000000</v>
      </c>
      <c r="H78" t="n">
        <v>2025</v>
      </c>
      <c r="I78" t="inlineStr">
        <is>
          <t>FY</t>
        </is>
      </c>
      <c r="J78" t="inlineStr">
        <is>
          <t>10-K</t>
        </is>
      </c>
      <c r="K78" t="inlineStr">
        <is>
          <t>2026-03-02</t>
        </is>
      </c>
      <c r="L78" t="inlineStr">
        <is>
          <t>0001769628-26-000104</t>
        </is>
      </c>
      <c r="M78" t="inlineStr">
        <is>
          <t>CY2023</t>
        </is>
      </c>
    </row>
    <row r="79">
      <c r="A79" t="inlineStr">
        <is>
          <t>interest_expense</t>
        </is>
      </c>
      <c r="B79" t="inlineStr">
        <is>
          <t>InterestExpenseDebt</t>
        </is>
      </c>
      <c r="C79" t="inlineStr">
        <is>
          <t>us-gaap</t>
        </is>
      </c>
      <c r="D79" t="inlineStr">
        <is>
          <t>USD</t>
        </is>
      </c>
      <c r="E79" t="inlineStr">
        <is>
          <t>2024-01-01</t>
        </is>
      </c>
      <c r="F79" t="inlineStr">
        <is>
          <t>2024-03-31</t>
        </is>
      </c>
      <c r="G79" t="n">
        <v>40503000</v>
      </c>
      <c r="H79" t="n">
        <v>2025</v>
      </c>
      <c r="I79" t="inlineStr">
        <is>
          <t>Q1</t>
        </is>
      </c>
      <c r="J79" t="inlineStr">
        <is>
          <t>10-Q</t>
        </is>
      </c>
      <c r="K79" t="inlineStr">
        <is>
          <t>2025-05-15</t>
        </is>
      </c>
      <c r="L79" t="inlineStr">
        <is>
          <t>0001769628-25-000014</t>
        </is>
      </c>
      <c r="M79" t="inlineStr">
        <is>
          <t>CY2024Q1</t>
        </is>
      </c>
    </row>
    <row r="80">
      <c r="A80" t="inlineStr">
        <is>
          <t>interest_expense</t>
        </is>
      </c>
      <c r="B80" t="inlineStr">
        <is>
          <t>InterestExpenseDebt</t>
        </is>
      </c>
      <c r="C80" t="inlineStr">
        <is>
          <t>us-gaap</t>
        </is>
      </c>
      <c r="D80" t="inlineStr">
        <is>
          <t>USD</t>
        </is>
      </c>
      <c r="E80" t="inlineStr">
        <is>
          <t>2024-01-01</t>
        </is>
      </c>
      <c r="F80" t="inlineStr">
        <is>
          <t>2024-06-30</t>
        </is>
      </c>
      <c r="G80" t="n">
        <v>107600000</v>
      </c>
      <c r="H80" t="n">
        <v>2025</v>
      </c>
      <c r="I80" t="inlineStr">
        <is>
          <t>Q2</t>
        </is>
      </c>
      <c r="J80" t="inlineStr">
        <is>
          <t>10-Q</t>
        </is>
      </c>
      <c r="K80" t="inlineStr">
        <is>
          <t>2025-08-13</t>
        </is>
      </c>
      <c r="L80" t="inlineStr">
        <is>
          <t>0001769628-25-000041</t>
        </is>
      </c>
    </row>
    <row r="81">
      <c r="A81" t="inlineStr">
        <is>
          <t>interest_expense</t>
        </is>
      </c>
      <c r="B81" t="inlineStr">
        <is>
          <t>InterestExpenseDebt</t>
        </is>
      </c>
      <c r="C81" t="inlineStr">
        <is>
          <t>us-gaap</t>
        </is>
      </c>
      <c r="D81" t="inlineStr">
        <is>
          <t>USD</t>
        </is>
      </c>
      <c r="E81" t="inlineStr">
        <is>
          <t>2024-04-01</t>
        </is>
      </c>
      <c r="F81" t="inlineStr">
        <is>
          <t>2024-06-30</t>
        </is>
      </c>
      <c r="G81" t="n">
        <v>67097000</v>
      </c>
      <c r="H81" t="n">
        <v>2025</v>
      </c>
      <c r="I81" t="inlineStr">
        <is>
          <t>Q2</t>
        </is>
      </c>
      <c r="J81" t="inlineStr">
        <is>
          <t>10-Q</t>
        </is>
      </c>
      <c r="K81" t="inlineStr">
        <is>
          <t>2025-08-13</t>
        </is>
      </c>
      <c r="L81" t="inlineStr">
        <is>
          <t>0001769628-25-000041</t>
        </is>
      </c>
      <c r="M81" t="inlineStr">
        <is>
          <t>CY2024Q2</t>
        </is>
      </c>
    </row>
    <row r="82">
      <c r="A82" t="inlineStr">
        <is>
          <t>interest_expense</t>
        </is>
      </c>
      <c r="B82" t="inlineStr">
        <is>
          <t>InterestExpenseDebt</t>
        </is>
      </c>
      <c r="C82" t="inlineStr">
        <is>
          <t>us-gaap</t>
        </is>
      </c>
      <c r="D82" t="inlineStr">
        <is>
          <t>USD</t>
        </is>
      </c>
      <c r="E82" t="inlineStr">
        <is>
          <t>2024-01-01</t>
        </is>
      </c>
      <c r="F82" t="inlineStr">
        <is>
          <t>2024-09-30</t>
        </is>
      </c>
      <c r="G82" t="n">
        <v>209928000</v>
      </c>
      <c r="H82" t="n">
        <v>2025</v>
      </c>
      <c r="I82" t="inlineStr">
        <is>
          <t>Q3</t>
        </is>
      </c>
      <c r="J82" t="inlineStr">
        <is>
          <t>10-Q</t>
        </is>
      </c>
      <c r="K82" t="inlineStr">
        <is>
          <t>2025-11-13</t>
        </is>
      </c>
      <c r="L82" t="inlineStr">
        <is>
          <t>0001769628-25-000062</t>
        </is>
      </c>
    </row>
    <row r="83">
      <c r="A83" t="inlineStr">
        <is>
          <t>interest_expense</t>
        </is>
      </c>
      <c r="B83" t="inlineStr">
        <is>
          <t>InterestExpenseDebt</t>
        </is>
      </c>
      <c r="C83" t="inlineStr">
        <is>
          <t>us-gaap</t>
        </is>
      </c>
      <c r="D83" t="inlineStr">
        <is>
          <t>USD</t>
        </is>
      </c>
      <c r="E83" t="inlineStr">
        <is>
          <t>2024-07-01</t>
        </is>
      </c>
      <c r="F83" t="inlineStr">
        <is>
          <t>2024-09-30</t>
        </is>
      </c>
      <c r="G83" t="n">
        <v>102328000</v>
      </c>
      <c r="H83" t="n">
        <v>2025</v>
      </c>
      <c r="I83" t="inlineStr">
        <is>
          <t>Q3</t>
        </is>
      </c>
      <c r="J83" t="inlineStr">
        <is>
          <t>10-Q</t>
        </is>
      </c>
      <c r="K83" t="inlineStr">
        <is>
          <t>2025-11-13</t>
        </is>
      </c>
      <c r="L83" t="inlineStr">
        <is>
          <t>0001769628-25-000062</t>
        </is>
      </c>
      <c r="M83" t="inlineStr">
        <is>
          <t>CY2024Q3</t>
        </is>
      </c>
    </row>
    <row r="84">
      <c r="A84" t="inlineStr">
        <is>
          <t>interest_expense</t>
        </is>
      </c>
      <c r="B84" t="inlineStr">
        <is>
          <t>InterestExpenseDebt</t>
        </is>
      </c>
      <c r="C84" t="inlineStr">
        <is>
          <t>us-gaap</t>
        </is>
      </c>
      <c r="D84" t="inlineStr">
        <is>
          <t>USD</t>
        </is>
      </c>
      <c r="E84" t="inlineStr">
        <is>
          <t>2024-01-01</t>
        </is>
      </c>
      <c r="F84" t="inlineStr">
        <is>
          <t>2024-12-31</t>
        </is>
      </c>
      <c r="G84" t="n">
        <v>349000000</v>
      </c>
      <c r="H84" t="n">
        <v>2025</v>
      </c>
      <c r="I84" t="inlineStr">
        <is>
          <t>FY</t>
        </is>
      </c>
      <c r="J84" t="inlineStr">
        <is>
          <t>10-K</t>
        </is>
      </c>
      <c r="K84" t="inlineStr">
        <is>
          <t>2026-03-02</t>
        </is>
      </c>
      <c r="L84" t="inlineStr">
        <is>
          <t>0001769628-26-000104</t>
        </is>
      </c>
      <c r="M84" t="inlineStr">
        <is>
          <t>CY2024</t>
        </is>
      </c>
    </row>
    <row r="85">
      <c r="A85" t="inlineStr">
        <is>
          <t>interest_expense</t>
        </is>
      </c>
      <c r="B85" t="inlineStr">
        <is>
          <t>InterestExpenseDebt</t>
        </is>
      </c>
      <c r="C85" t="inlineStr">
        <is>
          <t>us-gaap</t>
        </is>
      </c>
      <c r="D85" t="inlineStr">
        <is>
          <t>USD</t>
        </is>
      </c>
      <c r="E85" t="inlineStr">
        <is>
          <t>2025-01-01</t>
        </is>
      </c>
      <c r="F85" t="inlineStr">
        <is>
          <t>2025-03-31</t>
        </is>
      </c>
      <c r="G85" t="n">
        <v>257371000</v>
      </c>
      <c r="H85" t="n">
        <v>2025</v>
      </c>
      <c r="I85" t="inlineStr">
        <is>
          <t>Q1</t>
        </is>
      </c>
      <c r="J85" t="inlineStr">
        <is>
          <t>10-Q</t>
        </is>
      </c>
      <c r="K85" t="inlineStr">
        <is>
          <t>2025-05-15</t>
        </is>
      </c>
      <c r="L85" t="inlineStr">
        <is>
          <t>0001769628-25-000014</t>
        </is>
      </c>
    </row>
    <row r="86">
      <c r="A86" t="inlineStr">
        <is>
          <t>interest_expense</t>
        </is>
      </c>
      <c r="B86" t="inlineStr">
        <is>
          <t>InterestExpenseDebt</t>
        </is>
      </c>
      <c r="C86" t="inlineStr">
        <is>
          <t>us-gaap</t>
        </is>
      </c>
      <c r="D86" t="inlineStr">
        <is>
          <t>USD</t>
        </is>
      </c>
      <c r="E86" t="inlineStr">
        <is>
          <t>2025-01-01</t>
        </is>
      </c>
      <c r="F86" t="inlineStr">
        <is>
          <t>2025-03-31</t>
        </is>
      </c>
      <c r="G86" t="n">
        <v>257000000</v>
      </c>
      <c r="H86" t="n">
        <v>2026</v>
      </c>
      <c r="I86" t="inlineStr">
        <is>
          <t>Q1</t>
        </is>
      </c>
      <c r="J86" t="inlineStr">
        <is>
          <t>10-Q</t>
        </is>
      </c>
      <c r="K86" t="inlineStr">
        <is>
          <t>2026-05-08</t>
        </is>
      </c>
      <c r="L86" t="inlineStr">
        <is>
          <t>0001769628-26-000222</t>
        </is>
      </c>
      <c r="M86" t="inlineStr">
        <is>
          <t>CY2025Q1</t>
        </is>
      </c>
    </row>
    <row r="87">
      <c r="A87" t="inlineStr">
        <is>
          <t>interest_expense</t>
        </is>
      </c>
      <c r="B87" t="inlineStr">
        <is>
          <t>InterestExpenseDebt</t>
        </is>
      </c>
      <c r="C87" t="inlineStr">
        <is>
          <t>us-gaap</t>
        </is>
      </c>
      <c r="D87" t="inlineStr">
        <is>
          <t>USD</t>
        </is>
      </c>
      <c r="E87" t="inlineStr">
        <is>
          <t>2025-01-01</t>
        </is>
      </c>
      <c r="F87" t="inlineStr">
        <is>
          <t>2025-06-30</t>
        </is>
      </c>
      <c r="G87" t="n">
        <v>513533000</v>
      </c>
      <c r="H87" t="n">
        <v>2025</v>
      </c>
      <c r="I87" t="inlineStr">
        <is>
          <t>Q2</t>
        </is>
      </c>
      <c r="J87" t="inlineStr">
        <is>
          <t>10-Q</t>
        </is>
      </c>
      <c r="K87" t="inlineStr">
        <is>
          <t>2025-08-13</t>
        </is>
      </c>
      <c r="L87" t="inlineStr">
        <is>
          <t>0001769628-25-000041</t>
        </is>
      </c>
    </row>
    <row r="88">
      <c r="A88" t="inlineStr">
        <is>
          <t>interest_expense</t>
        </is>
      </c>
      <c r="B88" t="inlineStr">
        <is>
          <t>InterestExpenseDebt</t>
        </is>
      </c>
      <c r="C88" t="inlineStr">
        <is>
          <t>us-gaap</t>
        </is>
      </c>
      <c r="D88" t="inlineStr">
        <is>
          <t>USD</t>
        </is>
      </c>
      <c r="E88" t="inlineStr">
        <is>
          <t>2025-04-01</t>
        </is>
      </c>
      <c r="F88" t="inlineStr">
        <is>
          <t>2025-06-30</t>
        </is>
      </c>
      <c r="G88" t="n">
        <v>256162000</v>
      </c>
      <c r="H88" t="n">
        <v>2025</v>
      </c>
      <c r="I88" t="inlineStr">
        <is>
          <t>Q2</t>
        </is>
      </c>
      <c r="J88" t="inlineStr">
        <is>
          <t>10-Q</t>
        </is>
      </c>
      <c r="K88" t="inlineStr">
        <is>
          <t>2025-08-13</t>
        </is>
      </c>
      <c r="L88" t="inlineStr">
        <is>
          <t>0001769628-25-000041</t>
        </is>
      </c>
    </row>
    <row r="89">
      <c r="A89" t="inlineStr">
        <is>
          <t>interest_expense</t>
        </is>
      </c>
      <c r="B89" t="inlineStr">
        <is>
          <t>InterestExpenseDebt</t>
        </is>
      </c>
      <c r="C89" t="inlineStr">
        <is>
          <t>us-gaap</t>
        </is>
      </c>
      <c r="D89" t="inlineStr">
        <is>
          <t>USD</t>
        </is>
      </c>
      <c r="E89" t="inlineStr">
        <is>
          <t>2025-01-01</t>
        </is>
      </c>
      <c r="F89" t="inlineStr">
        <is>
          <t>2025-06-30</t>
        </is>
      </c>
      <c r="G89" t="n">
        <v>514000000</v>
      </c>
      <c r="H89" t="n">
        <v>2026</v>
      </c>
      <c r="I89" t="inlineStr">
        <is>
          <t>Q2</t>
        </is>
      </c>
      <c r="J89" t="inlineStr">
        <is>
          <t>10-Q</t>
        </is>
      </c>
      <c r="K89" t="inlineStr">
        <is>
          <t>2026-08-12</t>
        </is>
      </c>
      <c r="L89" t="inlineStr">
        <is>
          <t>0001769628-26-000366</t>
        </is>
      </c>
    </row>
    <row r="90">
      <c r="A90" t="inlineStr">
        <is>
          <t>interest_expense</t>
        </is>
      </c>
      <c r="B90" t="inlineStr">
        <is>
          <t>InterestExpenseDebt</t>
        </is>
      </c>
      <c r="C90" t="inlineStr">
        <is>
          <t>us-gaap</t>
        </is>
      </c>
      <c r="D90" t="inlineStr">
        <is>
          <t>USD</t>
        </is>
      </c>
      <c r="E90" t="inlineStr">
        <is>
          <t>2025-04-01</t>
        </is>
      </c>
      <c r="F90" t="inlineStr">
        <is>
          <t>2025-06-30</t>
        </is>
      </c>
      <c r="G90" t="n">
        <v>256000000</v>
      </c>
      <c r="H90" t="n">
        <v>2026</v>
      </c>
      <c r="I90" t="inlineStr">
        <is>
          <t>Q2</t>
        </is>
      </c>
      <c r="J90" t="inlineStr">
        <is>
          <t>10-Q</t>
        </is>
      </c>
      <c r="K90" t="inlineStr">
        <is>
          <t>2026-08-12</t>
        </is>
      </c>
      <c r="L90" t="inlineStr">
        <is>
          <t>0001769628-26-000366</t>
        </is>
      </c>
      <c r="M90" t="inlineStr">
        <is>
          <t>CY2025Q2</t>
        </is>
      </c>
    </row>
    <row r="91">
      <c r="A91" t="inlineStr">
        <is>
          <t>interest_expense</t>
        </is>
      </c>
      <c r="B91" t="inlineStr">
        <is>
          <t>InterestExpenseDebt</t>
        </is>
      </c>
      <c r="C91" t="inlineStr">
        <is>
          <t>us-gaap</t>
        </is>
      </c>
      <c r="D91" t="inlineStr">
        <is>
          <t>USD</t>
        </is>
      </c>
      <c r="E91" t="inlineStr">
        <is>
          <t>2025-01-01</t>
        </is>
      </c>
      <c r="F91" t="inlineStr">
        <is>
          <t>2025-09-30</t>
        </is>
      </c>
      <c r="G91" t="n">
        <v>796949000</v>
      </c>
      <c r="H91" t="n">
        <v>2025</v>
      </c>
      <c r="I91" t="inlineStr">
        <is>
          <t>Q3</t>
        </is>
      </c>
      <c r="J91" t="inlineStr">
        <is>
          <t>10-Q</t>
        </is>
      </c>
      <c r="K91" t="inlineStr">
        <is>
          <t>2025-11-13</t>
        </is>
      </c>
      <c r="L91" t="inlineStr">
        <is>
          <t>0001769628-25-000062</t>
        </is>
      </c>
    </row>
    <row r="92">
      <c r="A92" t="inlineStr">
        <is>
          <t>interest_expense</t>
        </is>
      </c>
      <c r="B92" t="inlineStr">
        <is>
          <t>InterestExpenseDebt</t>
        </is>
      </c>
      <c r="C92" t="inlineStr">
        <is>
          <t>us-gaap</t>
        </is>
      </c>
      <c r="D92" t="inlineStr">
        <is>
          <t>USD</t>
        </is>
      </c>
      <c r="E92" t="inlineStr">
        <is>
          <t>2025-07-01</t>
        </is>
      </c>
      <c r="F92" t="inlineStr">
        <is>
          <t>2025-09-30</t>
        </is>
      </c>
      <c r="G92" t="n">
        <v>283416000</v>
      </c>
      <c r="H92" t="n">
        <v>2025</v>
      </c>
      <c r="I92" t="inlineStr">
        <is>
          <t>Q3</t>
        </is>
      </c>
      <c r="J92" t="inlineStr">
        <is>
          <t>10-Q</t>
        </is>
      </c>
      <c r="K92" t="inlineStr">
        <is>
          <t>2025-11-13</t>
        </is>
      </c>
      <c r="L92" t="inlineStr">
        <is>
          <t>0001769628-25-000062</t>
        </is>
      </c>
      <c r="M92" t="inlineStr">
        <is>
          <t>CY2025Q3</t>
        </is>
      </c>
    </row>
    <row r="93">
      <c r="A93" t="inlineStr">
        <is>
          <t>interest_expense</t>
        </is>
      </c>
      <c r="B93" t="inlineStr">
        <is>
          <t>InterestExpenseDebt</t>
        </is>
      </c>
      <c r="C93" t="inlineStr">
        <is>
          <t>us-gaap</t>
        </is>
      </c>
      <c r="D93" t="inlineStr">
        <is>
          <t>USD</t>
        </is>
      </c>
      <c r="E93" t="inlineStr">
        <is>
          <t>2025-01-01</t>
        </is>
      </c>
      <c r="F93" t="inlineStr">
        <is>
          <t>2025-12-31</t>
        </is>
      </c>
      <c r="G93" t="n">
        <v>1148000000</v>
      </c>
      <c r="H93" t="n">
        <v>2025</v>
      </c>
      <c r="I93" t="inlineStr">
        <is>
          <t>FY</t>
        </is>
      </c>
      <c r="J93" t="inlineStr">
        <is>
          <t>10-K</t>
        </is>
      </c>
      <c r="K93" t="inlineStr">
        <is>
          <t>2026-03-02</t>
        </is>
      </c>
      <c r="L93" t="inlineStr">
        <is>
          <t>0001769628-26-000104</t>
        </is>
      </c>
      <c r="M93" t="inlineStr">
        <is>
          <t>CY2025</t>
        </is>
      </c>
    </row>
    <row r="94">
      <c r="A94" t="inlineStr">
        <is>
          <t>interest_expense</t>
        </is>
      </c>
      <c r="B94" t="inlineStr">
        <is>
          <t>InterestExpenseDebt</t>
        </is>
      </c>
      <c r="C94" t="inlineStr">
        <is>
          <t>us-gaap</t>
        </is>
      </c>
      <c r="D94" t="inlineStr">
        <is>
          <t>USD</t>
        </is>
      </c>
      <c r="E94" t="inlineStr">
        <is>
          <t>2026-01-01</t>
        </is>
      </c>
      <c r="F94" t="inlineStr">
        <is>
          <t>2026-03-31</t>
        </is>
      </c>
      <c r="G94" t="n">
        <v>427000000</v>
      </c>
      <c r="H94" t="n">
        <v>2026</v>
      </c>
      <c r="I94" t="inlineStr">
        <is>
          <t>Q1</t>
        </is>
      </c>
      <c r="J94" t="inlineStr">
        <is>
          <t>10-Q</t>
        </is>
      </c>
      <c r="K94" t="inlineStr">
        <is>
          <t>2026-05-08</t>
        </is>
      </c>
      <c r="L94" t="inlineStr">
        <is>
          <t>0001769628-26-000222</t>
        </is>
      </c>
      <c r="M94" t="inlineStr">
        <is>
          <t>CY2026Q1</t>
        </is>
      </c>
    </row>
    <row r="95">
      <c r="A95" t="inlineStr">
        <is>
          <t>interest_expense</t>
        </is>
      </c>
      <c r="B95" t="inlineStr">
        <is>
          <t>InterestExpenseDebt</t>
        </is>
      </c>
      <c r="C95" t="inlineStr">
        <is>
          <t>us-gaap</t>
        </is>
      </c>
      <c r="D95" t="inlineStr">
        <is>
          <t>USD</t>
        </is>
      </c>
      <c r="E95" t="inlineStr">
        <is>
          <t>2026-01-01</t>
        </is>
      </c>
      <c r="F95" t="inlineStr">
        <is>
          <t>2026-06-30</t>
        </is>
      </c>
      <c r="G95" t="n">
        <v>985000000</v>
      </c>
      <c r="H95" t="n">
        <v>2026</v>
      </c>
      <c r="I95" t="inlineStr">
        <is>
          <t>Q2</t>
        </is>
      </c>
      <c r="J95" t="inlineStr">
        <is>
          <t>10-Q</t>
        </is>
      </c>
      <c r="K95" t="inlineStr">
        <is>
          <t>2026-08-12</t>
        </is>
      </c>
      <c r="L95" t="inlineStr">
        <is>
          <t>0001769628-26-000366</t>
        </is>
      </c>
    </row>
    <row r="96">
      <c r="A96" t="inlineStr">
        <is>
          <t>interest_expense</t>
        </is>
      </c>
      <c r="B96" t="inlineStr">
        <is>
          <t>InterestExpenseDebt</t>
        </is>
      </c>
      <c r="C96" t="inlineStr">
        <is>
          <t>us-gaap</t>
        </is>
      </c>
      <c r="D96" t="inlineStr">
        <is>
          <t>USD</t>
        </is>
      </c>
      <c r="E96" t="inlineStr">
        <is>
          <t>2026-04-01</t>
        </is>
      </c>
      <c r="F96" t="inlineStr">
        <is>
          <t>2026-06-30</t>
        </is>
      </c>
      <c r="G96" t="n">
        <v>558000000</v>
      </c>
      <c r="H96" t="n">
        <v>2026</v>
      </c>
      <c r="I96" t="inlineStr">
        <is>
          <t>Q2</t>
        </is>
      </c>
      <c r="J96" t="inlineStr">
        <is>
          <t>10-Q</t>
        </is>
      </c>
      <c r="K96" t="inlineStr">
        <is>
          <t>2026-08-12</t>
        </is>
      </c>
      <c r="L96" t="inlineStr">
        <is>
          <t>0001769628-26-000366</t>
        </is>
      </c>
      <c r="M96" t="inlineStr">
        <is>
          <t>CY2026Q2</t>
        </is>
      </c>
    </row>
    <row r="97">
      <c r="A97" t="inlineStr">
        <is>
          <t>long_term_debt</t>
        </is>
      </c>
      <c r="B97" t="inlineStr">
        <is>
          <t>LongTermDebt</t>
        </is>
      </c>
      <c r="C97" t="inlineStr">
        <is>
          <t>us-gaap</t>
        </is>
      </c>
      <c r="D97" t="inlineStr">
        <is>
          <t>USD</t>
        </is>
      </c>
      <c r="F97" t="inlineStr">
        <is>
          <t>2024-12-31</t>
        </is>
      </c>
      <c r="G97" t="n">
        <v>7926340000</v>
      </c>
      <c r="H97" t="n">
        <v>2025</v>
      </c>
      <c r="I97" t="inlineStr">
        <is>
          <t>Q1</t>
        </is>
      </c>
      <c r="J97" t="inlineStr">
        <is>
          <t>10-Q</t>
        </is>
      </c>
      <c r="K97" t="inlineStr">
        <is>
          <t>2025-05-15</t>
        </is>
      </c>
      <c r="L97" t="inlineStr">
        <is>
          <t>0001769628-25-000014</t>
        </is>
      </c>
    </row>
    <row r="98">
      <c r="A98" t="inlineStr">
        <is>
          <t>long_term_debt</t>
        </is>
      </c>
      <c r="B98" t="inlineStr">
        <is>
          <t>LongTermDebt</t>
        </is>
      </c>
      <c r="C98" t="inlineStr">
        <is>
          <t>us-gaap</t>
        </is>
      </c>
      <c r="D98" t="inlineStr">
        <is>
          <t>USD</t>
        </is>
      </c>
      <c r="F98" t="inlineStr">
        <is>
          <t>2024-12-31</t>
        </is>
      </c>
      <c r="G98" t="n">
        <v>7926340000</v>
      </c>
      <c r="H98" t="n">
        <v>2025</v>
      </c>
      <c r="I98" t="inlineStr">
        <is>
          <t>Q2</t>
        </is>
      </c>
      <c r="J98" t="inlineStr">
        <is>
          <t>10-Q</t>
        </is>
      </c>
      <c r="K98" t="inlineStr">
        <is>
          <t>2025-08-13</t>
        </is>
      </c>
      <c r="L98" t="inlineStr">
        <is>
          <t>0001769628-25-000041</t>
        </is>
      </c>
    </row>
    <row r="99">
      <c r="A99" t="inlineStr">
        <is>
          <t>long_term_debt</t>
        </is>
      </c>
      <c r="B99" t="inlineStr">
        <is>
          <t>LongTermDebt</t>
        </is>
      </c>
      <c r="C99" t="inlineStr">
        <is>
          <t>us-gaap</t>
        </is>
      </c>
      <c r="D99" t="inlineStr">
        <is>
          <t>USD</t>
        </is>
      </c>
      <c r="F99" t="inlineStr">
        <is>
          <t>2024-12-31</t>
        </is>
      </c>
      <c r="G99" t="n">
        <v>7926340000</v>
      </c>
      <c r="H99" t="n">
        <v>2025</v>
      </c>
      <c r="I99" t="inlineStr">
        <is>
          <t>Q3</t>
        </is>
      </c>
      <c r="J99" t="inlineStr">
        <is>
          <t>10-Q</t>
        </is>
      </c>
      <c r="K99" t="inlineStr">
        <is>
          <t>2025-11-13</t>
        </is>
      </c>
      <c r="L99" t="inlineStr">
        <is>
          <t>0001769628-25-000062</t>
        </is>
      </c>
    </row>
    <row r="100">
      <c r="A100" t="inlineStr">
        <is>
          <t>long_term_debt</t>
        </is>
      </c>
      <c r="B100" t="inlineStr">
        <is>
          <t>LongTermDebt</t>
        </is>
      </c>
      <c r="C100" t="inlineStr">
        <is>
          <t>us-gaap</t>
        </is>
      </c>
      <c r="D100" t="inlineStr">
        <is>
          <t>USD</t>
        </is>
      </c>
      <c r="F100" t="inlineStr">
        <is>
          <t>2024-12-31</t>
        </is>
      </c>
      <c r="G100" t="n">
        <v>7926000000</v>
      </c>
      <c r="H100" t="n">
        <v>2025</v>
      </c>
      <c r="I100" t="inlineStr">
        <is>
          <t>FY</t>
        </is>
      </c>
      <c r="J100" t="inlineStr">
        <is>
          <t>10-K</t>
        </is>
      </c>
      <c r="K100" t="inlineStr">
        <is>
          <t>2026-03-02</t>
        </is>
      </c>
      <c r="L100" t="inlineStr">
        <is>
          <t>0001769628-26-000104</t>
        </is>
      </c>
      <c r="M100" t="inlineStr">
        <is>
          <t>CY2024Q4I</t>
        </is>
      </c>
    </row>
    <row r="101">
      <c r="A101" t="inlineStr">
        <is>
          <t>long_term_debt</t>
        </is>
      </c>
      <c r="B101" t="inlineStr">
        <is>
          <t>LongTermDebt</t>
        </is>
      </c>
      <c r="C101" t="inlineStr">
        <is>
          <t>us-gaap</t>
        </is>
      </c>
      <c r="D101" t="inlineStr">
        <is>
          <t>USD</t>
        </is>
      </c>
      <c r="F101" t="inlineStr">
        <is>
          <t>2025-03-31</t>
        </is>
      </c>
      <c r="G101" t="n">
        <v>8711666000</v>
      </c>
      <c r="H101" t="n">
        <v>2025</v>
      </c>
      <c r="I101" t="inlineStr">
        <is>
          <t>Q1</t>
        </is>
      </c>
      <c r="J101" t="inlineStr">
        <is>
          <t>10-Q</t>
        </is>
      </c>
      <c r="K101" t="inlineStr">
        <is>
          <t>2025-05-15</t>
        </is>
      </c>
      <c r="L101" t="inlineStr">
        <is>
          <t>0001769628-25-000014</t>
        </is>
      </c>
      <c r="M101" t="inlineStr">
        <is>
          <t>CY2025Q1I</t>
        </is>
      </c>
    </row>
    <row r="102">
      <c r="A102" t="inlineStr">
        <is>
          <t>long_term_debt</t>
        </is>
      </c>
      <c r="B102" t="inlineStr">
        <is>
          <t>LongTermDebt</t>
        </is>
      </c>
      <c r="C102" t="inlineStr">
        <is>
          <t>us-gaap</t>
        </is>
      </c>
      <c r="D102" t="inlineStr">
        <is>
          <t>USD</t>
        </is>
      </c>
      <c r="F102" t="inlineStr">
        <is>
          <t>2025-06-30</t>
        </is>
      </c>
      <c r="G102" t="n">
        <v>11051501000</v>
      </c>
      <c r="H102" t="n">
        <v>2025</v>
      </c>
      <c r="I102" t="inlineStr">
        <is>
          <t>Q2</t>
        </is>
      </c>
      <c r="J102" t="inlineStr">
        <is>
          <t>10-Q</t>
        </is>
      </c>
      <c r="K102" t="inlineStr">
        <is>
          <t>2025-08-13</t>
        </is>
      </c>
      <c r="L102" t="inlineStr">
        <is>
          <t>0001769628-25-000041</t>
        </is>
      </c>
      <c r="M102" t="inlineStr">
        <is>
          <t>CY2025Q2I</t>
        </is>
      </c>
    </row>
    <row r="103">
      <c r="A103" t="inlineStr">
        <is>
          <t>long_term_debt</t>
        </is>
      </c>
      <c r="B103" t="inlineStr">
        <is>
          <t>LongTermDebt</t>
        </is>
      </c>
      <c r="C103" t="inlineStr">
        <is>
          <t>us-gaap</t>
        </is>
      </c>
      <c r="D103" t="inlineStr">
        <is>
          <t>USD</t>
        </is>
      </c>
      <c r="F103" t="inlineStr">
        <is>
          <t>2025-09-30</t>
        </is>
      </c>
      <c r="G103" t="n">
        <v>14034934000</v>
      </c>
      <c r="H103" t="n">
        <v>2025</v>
      </c>
      <c r="I103" t="inlineStr">
        <is>
          <t>Q3</t>
        </is>
      </c>
      <c r="J103" t="inlineStr">
        <is>
          <t>10-Q</t>
        </is>
      </c>
      <c r="K103" t="inlineStr">
        <is>
          <t>2025-11-13</t>
        </is>
      </c>
      <c r="L103" t="inlineStr">
        <is>
          <t>0001769628-25-000062</t>
        </is>
      </c>
      <c r="M103" t="inlineStr">
        <is>
          <t>CY2025Q3I</t>
        </is>
      </c>
    </row>
    <row r="104">
      <c r="A104" t="inlineStr">
        <is>
          <t>long_term_debt</t>
        </is>
      </c>
      <c r="B104" t="inlineStr">
        <is>
          <t>LongTermDebt</t>
        </is>
      </c>
      <c r="C104" t="inlineStr">
        <is>
          <t>us-gaap</t>
        </is>
      </c>
      <c r="D104" t="inlineStr">
        <is>
          <t>USD</t>
        </is>
      </c>
      <c r="F104" t="inlineStr">
        <is>
          <t>2025-12-31</t>
        </is>
      </c>
      <c r="G104" t="n">
        <v>21373000000</v>
      </c>
      <c r="H104" t="n">
        <v>2025</v>
      </c>
      <c r="I104" t="inlineStr">
        <is>
          <t>FY</t>
        </is>
      </c>
      <c r="J104" t="inlineStr">
        <is>
          <t>10-K</t>
        </is>
      </c>
      <c r="K104" t="inlineStr">
        <is>
          <t>2026-03-02</t>
        </is>
      </c>
      <c r="L104" t="inlineStr">
        <is>
          <t>0001769628-26-000104</t>
        </is>
      </c>
    </row>
    <row r="105">
      <c r="A105" t="inlineStr">
        <is>
          <t>long_term_debt</t>
        </is>
      </c>
      <c r="B105" t="inlineStr">
        <is>
          <t>LongTermDebt</t>
        </is>
      </c>
      <c r="C105" t="inlineStr">
        <is>
          <t>us-gaap</t>
        </is>
      </c>
      <c r="D105" t="inlineStr">
        <is>
          <t>USD</t>
        </is>
      </c>
      <c r="F105" t="inlineStr">
        <is>
          <t>2025-12-31</t>
        </is>
      </c>
      <c r="G105" t="n">
        <v>21373000000</v>
      </c>
      <c r="H105" t="n">
        <v>2026</v>
      </c>
      <c r="I105" t="inlineStr">
        <is>
          <t>Q1</t>
        </is>
      </c>
      <c r="J105" t="inlineStr">
        <is>
          <t>10-Q</t>
        </is>
      </c>
      <c r="K105" t="inlineStr">
        <is>
          <t>2026-05-08</t>
        </is>
      </c>
      <c r="L105" t="inlineStr">
        <is>
          <t>0001769628-26-000222</t>
        </is>
      </c>
      <c r="M105" t="inlineStr">
        <is>
          <t>CY2025Q4I</t>
        </is>
      </c>
    </row>
    <row r="106">
      <c r="A106" t="inlineStr">
        <is>
          <t>long_term_debt</t>
        </is>
      </c>
      <c r="B106" t="inlineStr">
        <is>
          <t>LongTermDebt</t>
        </is>
      </c>
      <c r="C106" t="inlineStr">
        <is>
          <t>us-gaap</t>
        </is>
      </c>
      <c r="D106" t="inlineStr">
        <is>
          <t>USD</t>
        </is>
      </c>
      <c r="F106" t="inlineStr">
        <is>
          <t>2026-03-31</t>
        </is>
      </c>
      <c r="G106" t="n">
        <v>24859000000</v>
      </c>
      <c r="H106" t="n">
        <v>2026</v>
      </c>
      <c r="I106" t="inlineStr">
        <is>
          <t>Q1</t>
        </is>
      </c>
      <c r="J106" t="inlineStr">
        <is>
          <t>10-Q</t>
        </is>
      </c>
      <c r="K106" t="inlineStr">
        <is>
          <t>2026-05-08</t>
        </is>
      </c>
      <c r="L106" t="inlineStr">
        <is>
          <t>0001769628-26-000222</t>
        </is>
      </c>
      <c r="M106" t="inlineStr">
        <is>
          <t>CY2026Q1I</t>
        </is>
      </c>
    </row>
    <row r="107">
      <c r="A107" t="inlineStr">
        <is>
          <t>net_income</t>
        </is>
      </c>
      <c r="B107" t="inlineStr">
        <is>
          <t>NetIncomeLoss</t>
        </is>
      </c>
      <c r="C107" t="inlineStr">
        <is>
          <t>us-gaap</t>
        </is>
      </c>
      <c r="D107" t="inlineStr">
        <is>
          <t>USD</t>
        </is>
      </c>
      <c r="E107" t="inlineStr">
        <is>
          <t>2023-01-01</t>
        </is>
      </c>
      <c r="F107" t="inlineStr">
        <is>
          <t>2023-12-31</t>
        </is>
      </c>
      <c r="G107" t="n">
        <v>-594000000</v>
      </c>
      <c r="H107" t="n">
        <v>2025</v>
      </c>
      <c r="I107" t="inlineStr">
        <is>
          <t>FY</t>
        </is>
      </c>
      <c r="J107" t="inlineStr">
        <is>
          <t>10-K</t>
        </is>
      </c>
      <c r="K107" t="inlineStr">
        <is>
          <t>2026-03-02</t>
        </is>
      </c>
      <c r="L107" t="inlineStr">
        <is>
          <t>0001769628-26-000104</t>
        </is>
      </c>
      <c r="M107" t="inlineStr">
        <is>
          <t>CY2023</t>
        </is>
      </c>
    </row>
    <row r="108">
      <c r="A108" t="inlineStr">
        <is>
          <t>net_income</t>
        </is>
      </c>
      <c r="B108" t="inlineStr">
        <is>
          <t>NetIncomeLoss</t>
        </is>
      </c>
      <c r="C108" t="inlineStr">
        <is>
          <t>us-gaap</t>
        </is>
      </c>
      <c r="D108" t="inlineStr">
        <is>
          <t>USD</t>
        </is>
      </c>
      <c r="E108" t="inlineStr">
        <is>
          <t>2024-01-01</t>
        </is>
      </c>
      <c r="F108" t="inlineStr">
        <is>
          <t>2024-03-31</t>
        </is>
      </c>
      <c r="G108" t="n">
        <v>-129248000</v>
      </c>
      <c r="H108" t="n">
        <v>2025</v>
      </c>
      <c r="I108" t="inlineStr">
        <is>
          <t>Q1</t>
        </is>
      </c>
      <c r="J108" t="inlineStr">
        <is>
          <t>10-Q</t>
        </is>
      </c>
      <c r="K108" t="inlineStr">
        <is>
          <t>2025-05-15</t>
        </is>
      </c>
      <c r="L108" t="inlineStr">
        <is>
          <t>0001769628-25-000014</t>
        </is>
      </c>
    </row>
    <row r="109">
      <c r="A109" t="inlineStr">
        <is>
          <t>net_income</t>
        </is>
      </c>
      <c r="B109" t="inlineStr">
        <is>
          <t>NetIncomeLoss</t>
        </is>
      </c>
      <c r="C109" t="inlineStr">
        <is>
          <t>us-gaap</t>
        </is>
      </c>
      <c r="D109" t="inlineStr">
        <is>
          <t>USD</t>
        </is>
      </c>
      <c r="E109" t="inlineStr">
        <is>
          <t>2024-01-01</t>
        </is>
      </c>
      <c r="F109" t="inlineStr">
        <is>
          <t>2024-03-31</t>
        </is>
      </c>
      <c r="G109" t="n">
        <v>-129248000</v>
      </c>
      <c r="H109" t="n">
        <v>2025</v>
      </c>
      <c r="I109" t="inlineStr">
        <is>
          <t>Q2</t>
        </is>
      </c>
      <c r="J109" t="inlineStr">
        <is>
          <t>10-Q</t>
        </is>
      </c>
      <c r="K109" t="inlineStr">
        <is>
          <t>2025-08-13</t>
        </is>
      </c>
      <c r="L109" t="inlineStr">
        <is>
          <t>0001769628-25-000041</t>
        </is>
      </c>
    </row>
    <row r="110">
      <c r="A110" t="inlineStr">
        <is>
          <t>net_income</t>
        </is>
      </c>
      <c r="B110" t="inlineStr">
        <is>
          <t>NetIncomeLoss</t>
        </is>
      </c>
      <c r="C110" t="inlineStr">
        <is>
          <t>us-gaap</t>
        </is>
      </c>
      <c r="D110" t="inlineStr">
        <is>
          <t>USD</t>
        </is>
      </c>
      <c r="E110" t="inlineStr">
        <is>
          <t>2024-01-01</t>
        </is>
      </c>
      <c r="F110" t="inlineStr">
        <is>
          <t>2024-03-31</t>
        </is>
      </c>
      <c r="G110" t="n">
        <v>-129248000</v>
      </c>
      <c r="H110" t="n">
        <v>2025</v>
      </c>
      <c r="I110" t="inlineStr">
        <is>
          <t>Q3</t>
        </is>
      </c>
      <c r="J110" t="inlineStr">
        <is>
          <t>10-Q</t>
        </is>
      </c>
      <c r="K110" t="inlineStr">
        <is>
          <t>2025-11-13</t>
        </is>
      </c>
      <c r="L110" t="inlineStr">
        <is>
          <t>0001769628-25-000062</t>
        </is>
      </c>
      <c r="M110" t="inlineStr">
        <is>
          <t>CY2024Q1</t>
        </is>
      </c>
    </row>
    <row r="111">
      <c r="A111" t="inlineStr">
        <is>
          <t>net_income</t>
        </is>
      </c>
      <c r="B111" t="inlineStr">
        <is>
          <t>NetIncomeLoss</t>
        </is>
      </c>
      <c r="C111" t="inlineStr">
        <is>
          <t>us-gaap</t>
        </is>
      </c>
      <c r="D111" t="inlineStr">
        <is>
          <t>USD</t>
        </is>
      </c>
      <c r="E111" t="inlineStr">
        <is>
          <t>2024-01-01</t>
        </is>
      </c>
      <c r="F111" t="inlineStr">
        <is>
          <t>2024-06-30</t>
        </is>
      </c>
      <c r="G111" t="n">
        <v>-452269000</v>
      </c>
      <c r="H111" t="n">
        <v>2025</v>
      </c>
      <c r="I111" t="inlineStr">
        <is>
          <t>Q2</t>
        </is>
      </c>
      <c r="J111" t="inlineStr">
        <is>
          <t>10-Q</t>
        </is>
      </c>
      <c r="K111" t="inlineStr">
        <is>
          <t>2025-08-13</t>
        </is>
      </c>
      <c r="L111" t="inlineStr">
        <is>
          <t>0001769628-25-000041</t>
        </is>
      </c>
    </row>
    <row r="112">
      <c r="A112" t="inlineStr">
        <is>
          <t>net_income</t>
        </is>
      </c>
      <c r="B112" t="inlineStr">
        <is>
          <t>NetIncomeLoss</t>
        </is>
      </c>
      <c r="C112" t="inlineStr">
        <is>
          <t>us-gaap</t>
        </is>
      </c>
      <c r="D112" t="inlineStr">
        <is>
          <t>USD</t>
        </is>
      </c>
      <c r="E112" t="inlineStr">
        <is>
          <t>2024-04-01</t>
        </is>
      </c>
      <c r="F112" t="inlineStr">
        <is>
          <t>2024-06-30</t>
        </is>
      </c>
      <c r="G112" t="n">
        <v>-323021000</v>
      </c>
      <c r="H112" t="n">
        <v>2025</v>
      </c>
      <c r="I112" t="inlineStr">
        <is>
          <t>Q2</t>
        </is>
      </c>
      <c r="J112" t="inlineStr">
        <is>
          <t>10-Q</t>
        </is>
      </c>
      <c r="K112" t="inlineStr">
        <is>
          <t>2025-08-13</t>
        </is>
      </c>
      <c r="L112" t="inlineStr">
        <is>
          <t>0001769628-25-000041</t>
        </is>
      </c>
    </row>
    <row r="113">
      <c r="A113" t="inlineStr">
        <is>
          <t>net_income</t>
        </is>
      </c>
      <c r="B113" t="inlineStr">
        <is>
          <t>NetIncomeLoss</t>
        </is>
      </c>
      <c r="C113" t="inlineStr">
        <is>
          <t>us-gaap</t>
        </is>
      </c>
      <c r="D113" t="inlineStr">
        <is>
          <t>USD</t>
        </is>
      </c>
      <c r="E113" t="inlineStr">
        <is>
          <t>2024-04-01</t>
        </is>
      </c>
      <c r="F113" t="inlineStr">
        <is>
          <t>2024-06-30</t>
        </is>
      </c>
      <c r="G113" t="n">
        <v>-323021000</v>
      </c>
      <c r="H113" t="n">
        <v>2025</v>
      </c>
      <c r="I113" t="inlineStr">
        <is>
          <t>Q3</t>
        </is>
      </c>
      <c r="J113" t="inlineStr">
        <is>
          <t>10-Q</t>
        </is>
      </c>
      <c r="K113" t="inlineStr">
        <is>
          <t>2025-11-13</t>
        </is>
      </c>
      <c r="L113" t="inlineStr">
        <is>
          <t>0001769628-25-000062</t>
        </is>
      </c>
      <c r="M113" t="inlineStr">
        <is>
          <t>CY2024Q2</t>
        </is>
      </c>
    </row>
    <row r="114">
      <c r="A114" t="inlineStr">
        <is>
          <t>net_income</t>
        </is>
      </c>
      <c r="B114" t="inlineStr">
        <is>
          <t>NetIncomeLoss</t>
        </is>
      </c>
      <c r="C114" t="inlineStr">
        <is>
          <t>us-gaap</t>
        </is>
      </c>
      <c r="D114" t="inlineStr">
        <is>
          <t>USD</t>
        </is>
      </c>
      <c r="E114" t="inlineStr">
        <is>
          <t>2024-01-01</t>
        </is>
      </c>
      <c r="F114" t="inlineStr">
        <is>
          <t>2024-09-30</t>
        </is>
      </c>
      <c r="G114" t="n">
        <v>-812076000</v>
      </c>
      <c r="H114" t="n">
        <v>2025</v>
      </c>
      <c r="I114" t="inlineStr">
        <is>
          <t>Q3</t>
        </is>
      </c>
      <c r="J114" t="inlineStr">
        <is>
          <t>10-Q</t>
        </is>
      </c>
      <c r="K114" t="inlineStr">
        <is>
          <t>2025-11-13</t>
        </is>
      </c>
      <c r="L114" t="inlineStr">
        <is>
          <t>0001769628-25-000062</t>
        </is>
      </c>
    </row>
    <row r="115">
      <c r="A115" t="inlineStr">
        <is>
          <t>net_income</t>
        </is>
      </c>
      <c r="B115" t="inlineStr">
        <is>
          <t>NetIncomeLoss</t>
        </is>
      </c>
      <c r="C115" t="inlineStr">
        <is>
          <t>us-gaap</t>
        </is>
      </c>
      <c r="D115" t="inlineStr">
        <is>
          <t>USD</t>
        </is>
      </c>
      <c r="E115" t="inlineStr">
        <is>
          <t>2024-07-01</t>
        </is>
      </c>
      <c r="F115" t="inlineStr">
        <is>
          <t>2024-09-30</t>
        </is>
      </c>
      <c r="G115" t="n">
        <v>-359807000</v>
      </c>
      <c r="H115" t="n">
        <v>2025</v>
      </c>
      <c r="I115" t="inlineStr">
        <is>
          <t>Q3</t>
        </is>
      </c>
      <c r="J115" t="inlineStr">
        <is>
          <t>10-Q</t>
        </is>
      </c>
      <c r="K115" t="inlineStr">
        <is>
          <t>2025-11-13</t>
        </is>
      </c>
      <c r="L115" t="inlineStr">
        <is>
          <t>0001769628-25-000062</t>
        </is>
      </c>
      <c r="M115" t="inlineStr">
        <is>
          <t>CY2024Q3</t>
        </is>
      </c>
    </row>
    <row r="116">
      <c r="A116" t="inlineStr">
        <is>
          <t>net_income</t>
        </is>
      </c>
      <c r="B116" t="inlineStr">
        <is>
          <t>NetIncomeLoss</t>
        </is>
      </c>
      <c r="C116" t="inlineStr">
        <is>
          <t>us-gaap</t>
        </is>
      </c>
      <c r="D116" t="inlineStr">
        <is>
          <t>USD</t>
        </is>
      </c>
      <c r="E116" t="inlineStr">
        <is>
          <t>2024-01-01</t>
        </is>
      </c>
      <c r="F116" t="inlineStr">
        <is>
          <t>2024-12-31</t>
        </is>
      </c>
      <c r="G116" t="n">
        <v>-863000000</v>
      </c>
      <c r="H116" t="n">
        <v>2025</v>
      </c>
      <c r="I116" t="inlineStr">
        <is>
          <t>FY</t>
        </is>
      </c>
      <c r="J116" t="inlineStr">
        <is>
          <t>10-K</t>
        </is>
      </c>
      <c r="K116" t="inlineStr">
        <is>
          <t>2026-03-02</t>
        </is>
      </c>
      <c r="L116" t="inlineStr">
        <is>
          <t>0001769628-26-000104</t>
        </is>
      </c>
      <c r="M116" t="inlineStr">
        <is>
          <t>CY2024</t>
        </is>
      </c>
    </row>
    <row r="117">
      <c r="A117" t="inlineStr">
        <is>
          <t>net_income</t>
        </is>
      </c>
      <c r="B117" t="inlineStr">
        <is>
          <t>NetIncomeLoss</t>
        </is>
      </c>
      <c r="C117" t="inlineStr">
        <is>
          <t>us-gaap</t>
        </is>
      </c>
      <c r="D117" t="inlineStr">
        <is>
          <t>USD</t>
        </is>
      </c>
      <c r="E117" t="inlineStr">
        <is>
          <t>2025-01-01</t>
        </is>
      </c>
      <c r="F117" t="inlineStr">
        <is>
          <t>2025-03-31</t>
        </is>
      </c>
      <c r="G117" t="n">
        <v>-314641000</v>
      </c>
      <c r="H117" t="n">
        <v>2025</v>
      </c>
      <c r="I117" t="inlineStr">
        <is>
          <t>Q1</t>
        </is>
      </c>
      <c r="J117" t="inlineStr">
        <is>
          <t>10-Q</t>
        </is>
      </c>
      <c r="K117" t="inlineStr">
        <is>
          <t>2025-05-15</t>
        </is>
      </c>
      <c r="L117" t="inlineStr">
        <is>
          <t>0001769628-25-000014</t>
        </is>
      </c>
    </row>
    <row r="118">
      <c r="A118" t="inlineStr">
        <is>
          <t>net_income</t>
        </is>
      </c>
      <c r="B118" t="inlineStr">
        <is>
          <t>NetIncomeLoss</t>
        </is>
      </c>
      <c r="C118" t="inlineStr">
        <is>
          <t>us-gaap</t>
        </is>
      </c>
      <c r="D118" t="inlineStr">
        <is>
          <t>USD</t>
        </is>
      </c>
      <c r="E118" t="inlineStr">
        <is>
          <t>2025-01-01</t>
        </is>
      </c>
      <c r="F118" t="inlineStr">
        <is>
          <t>2025-03-31</t>
        </is>
      </c>
      <c r="G118" t="n">
        <v>-314641000</v>
      </c>
      <c r="H118" t="n">
        <v>2025</v>
      </c>
      <c r="I118" t="inlineStr">
        <is>
          <t>Q2</t>
        </is>
      </c>
      <c r="J118" t="inlineStr">
        <is>
          <t>10-Q</t>
        </is>
      </c>
      <c r="K118" t="inlineStr">
        <is>
          <t>2025-08-13</t>
        </is>
      </c>
      <c r="L118" t="inlineStr">
        <is>
          <t>0001769628-25-000041</t>
        </is>
      </c>
    </row>
    <row r="119">
      <c r="A119" t="inlineStr">
        <is>
          <t>net_income</t>
        </is>
      </c>
      <c r="B119" t="inlineStr">
        <is>
          <t>NetIncomeLoss</t>
        </is>
      </c>
      <c r="C119" t="inlineStr">
        <is>
          <t>us-gaap</t>
        </is>
      </c>
      <c r="D119" t="inlineStr">
        <is>
          <t>USD</t>
        </is>
      </c>
      <c r="E119" t="inlineStr">
        <is>
          <t>2025-01-01</t>
        </is>
      </c>
      <c r="F119" t="inlineStr">
        <is>
          <t>2025-03-31</t>
        </is>
      </c>
      <c r="G119" t="n">
        <v>-314641000</v>
      </c>
      <c r="H119" t="n">
        <v>2025</v>
      </c>
      <c r="I119" t="inlineStr">
        <is>
          <t>Q3</t>
        </is>
      </c>
      <c r="J119" t="inlineStr">
        <is>
          <t>10-Q</t>
        </is>
      </c>
      <c r="K119" t="inlineStr">
        <is>
          <t>2025-11-13</t>
        </is>
      </c>
      <c r="L119" t="inlineStr">
        <is>
          <t>0001769628-25-000062</t>
        </is>
      </c>
    </row>
    <row r="120">
      <c r="A120" t="inlineStr">
        <is>
          <t>net_income</t>
        </is>
      </c>
      <c r="B120" t="inlineStr">
        <is>
          <t>NetIncomeLoss</t>
        </is>
      </c>
      <c r="C120" t="inlineStr">
        <is>
          <t>us-gaap</t>
        </is>
      </c>
      <c r="D120" t="inlineStr">
        <is>
          <t>USD</t>
        </is>
      </c>
      <c r="E120" t="inlineStr">
        <is>
          <t>2025-01-01</t>
        </is>
      </c>
      <c r="F120" t="inlineStr">
        <is>
          <t>2025-03-31</t>
        </is>
      </c>
      <c r="G120" t="n">
        <v>-315000000</v>
      </c>
      <c r="H120" t="n">
        <v>2026</v>
      </c>
      <c r="I120" t="inlineStr">
        <is>
          <t>Q1</t>
        </is>
      </c>
      <c r="J120" t="inlineStr">
        <is>
          <t>10-Q</t>
        </is>
      </c>
      <c r="K120" t="inlineStr">
        <is>
          <t>2026-05-08</t>
        </is>
      </c>
      <c r="L120" t="inlineStr">
        <is>
          <t>0001769628-26-000222</t>
        </is>
      </c>
    </row>
    <row r="121">
      <c r="A121" t="inlineStr">
        <is>
          <t>net_income</t>
        </is>
      </c>
      <c r="B121" t="inlineStr">
        <is>
          <t>NetIncomeLoss</t>
        </is>
      </c>
      <c r="C121" t="inlineStr">
        <is>
          <t>us-gaap</t>
        </is>
      </c>
      <c r="D121" t="inlineStr">
        <is>
          <t>USD</t>
        </is>
      </c>
      <c r="E121" t="inlineStr">
        <is>
          <t>2025-01-01</t>
        </is>
      </c>
      <c r="F121" t="inlineStr">
        <is>
          <t>2025-03-31</t>
        </is>
      </c>
      <c r="G121" t="n">
        <v>-315000000</v>
      </c>
      <c r="H121" t="n">
        <v>2026</v>
      </c>
      <c r="I121" t="inlineStr">
        <is>
          <t>Q2</t>
        </is>
      </c>
      <c r="J121" t="inlineStr">
        <is>
          <t>10-Q</t>
        </is>
      </c>
      <c r="K121" t="inlineStr">
        <is>
          <t>2026-08-12</t>
        </is>
      </c>
      <c r="L121" t="inlineStr">
        <is>
          <t>0001769628-26-000366</t>
        </is>
      </c>
      <c r="M121" t="inlineStr">
        <is>
          <t>CY2025Q1</t>
        </is>
      </c>
    </row>
    <row r="122">
      <c r="A122" t="inlineStr">
        <is>
          <t>net_income</t>
        </is>
      </c>
      <c r="B122" t="inlineStr">
        <is>
          <t>NetIncomeLoss</t>
        </is>
      </c>
      <c r="C122" t="inlineStr">
        <is>
          <t>us-gaap</t>
        </is>
      </c>
      <c r="D122" t="inlineStr">
        <is>
          <t>USD</t>
        </is>
      </c>
      <c r="E122" t="inlineStr">
        <is>
          <t>2025-01-01</t>
        </is>
      </c>
      <c r="F122" t="inlineStr">
        <is>
          <t>2025-06-30</t>
        </is>
      </c>
      <c r="G122" t="n">
        <v>-605150000</v>
      </c>
      <c r="H122" t="n">
        <v>2025</v>
      </c>
      <c r="I122" t="inlineStr">
        <is>
          <t>Q2</t>
        </is>
      </c>
      <c r="J122" t="inlineStr">
        <is>
          <t>10-Q</t>
        </is>
      </c>
      <c r="K122" t="inlineStr">
        <is>
          <t>2025-08-13</t>
        </is>
      </c>
      <c r="L122" t="inlineStr">
        <is>
          <t>0001769628-25-000041</t>
        </is>
      </c>
    </row>
    <row r="123">
      <c r="A123" t="inlineStr">
        <is>
          <t>net_income</t>
        </is>
      </c>
      <c r="B123" t="inlineStr">
        <is>
          <t>NetIncomeLoss</t>
        </is>
      </c>
      <c r="C123" t="inlineStr">
        <is>
          <t>us-gaap</t>
        </is>
      </c>
      <c r="D123" t="inlineStr">
        <is>
          <t>USD</t>
        </is>
      </c>
      <c r="E123" t="inlineStr">
        <is>
          <t>2025-04-01</t>
        </is>
      </c>
      <c r="F123" t="inlineStr">
        <is>
          <t>2025-06-30</t>
        </is>
      </c>
      <c r="G123" t="n">
        <v>-290509000</v>
      </c>
      <c r="H123" t="n">
        <v>2025</v>
      </c>
      <c r="I123" t="inlineStr">
        <is>
          <t>Q2</t>
        </is>
      </c>
      <c r="J123" t="inlineStr">
        <is>
          <t>10-Q</t>
        </is>
      </c>
      <c r="K123" t="inlineStr">
        <is>
          <t>2025-08-13</t>
        </is>
      </c>
      <c r="L123" t="inlineStr">
        <is>
          <t>0001769628-25-000041</t>
        </is>
      </c>
    </row>
    <row r="124">
      <c r="A124" t="inlineStr">
        <is>
          <t>net_income</t>
        </is>
      </c>
      <c r="B124" t="inlineStr">
        <is>
          <t>NetIncomeLoss</t>
        </is>
      </c>
      <c r="C124" t="inlineStr">
        <is>
          <t>us-gaap</t>
        </is>
      </c>
      <c r="D124" t="inlineStr">
        <is>
          <t>USD</t>
        </is>
      </c>
      <c r="E124" t="inlineStr">
        <is>
          <t>2025-04-01</t>
        </is>
      </c>
      <c r="F124" t="inlineStr">
        <is>
          <t>2025-06-30</t>
        </is>
      </c>
      <c r="G124" t="n">
        <v>-290509000</v>
      </c>
      <c r="H124" t="n">
        <v>2025</v>
      </c>
      <c r="I124" t="inlineStr">
        <is>
          <t>Q3</t>
        </is>
      </c>
      <c r="J124" t="inlineStr">
        <is>
          <t>10-Q</t>
        </is>
      </c>
      <c r="K124" t="inlineStr">
        <is>
          <t>2025-11-13</t>
        </is>
      </c>
      <c r="L124" t="inlineStr">
        <is>
          <t>0001769628-25-000062</t>
        </is>
      </c>
    </row>
    <row r="125">
      <c r="A125" t="inlineStr">
        <is>
          <t>net_income</t>
        </is>
      </c>
      <c r="B125" t="inlineStr">
        <is>
          <t>NetIncomeLoss</t>
        </is>
      </c>
      <c r="C125" t="inlineStr">
        <is>
          <t>us-gaap</t>
        </is>
      </c>
      <c r="D125" t="inlineStr">
        <is>
          <t>USD</t>
        </is>
      </c>
      <c r="E125" t="inlineStr">
        <is>
          <t>2025-01-01</t>
        </is>
      </c>
      <c r="F125" t="inlineStr">
        <is>
          <t>2025-06-30</t>
        </is>
      </c>
      <c r="G125" t="n">
        <v>-605000000</v>
      </c>
      <c r="H125" t="n">
        <v>2026</v>
      </c>
      <c r="I125" t="inlineStr">
        <is>
          <t>Q2</t>
        </is>
      </c>
      <c r="J125" t="inlineStr">
        <is>
          <t>10-Q</t>
        </is>
      </c>
      <c r="K125" t="inlineStr">
        <is>
          <t>2026-08-12</t>
        </is>
      </c>
      <c r="L125" t="inlineStr">
        <is>
          <t>0001769628-26-000366</t>
        </is>
      </c>
    </row>
    <row r="126">
      <c r="A126" t="inlineStr">
        <is>
          <t>net_income</t>
        </is>
      </c>
      <c r="B126" t="inlineStr">
        <is>
          <t>NetIncomeLoss</t>
        </is>
      </c>
      <c r="C126" t="inlineStr">
        <is>
          <t>us-gaap</t>
        </is>
      </c>
      <c r="D126" t="inlineStr">
        <is>
          <t>USD</t>
        </is>
      </c>
      <c r="E126" t="inlineStr">
        <is>
          <t>2025-04-01</t>
        </is>
      </c>
      <c r="F126" t="inlineStr">
        <is>
          <t>2025-06-30</t>
        </is>
      </c>
      <c r="G126" t="n">
        <v>-290000000</v>
      </c>
      <c r="H126" t="n">
        <v>2026</v>
      </c>
      <c r="I126" t="inlineStr">
        <is>
          <t>Q2</t>
        </is>
      </c>
      <c r="J126" t="inlineStr">
        <is>
          <t>10-Q</t>
        </is>
      </c>
      <c r="K126" t="inlineStr">
        <is>
          <t>2026-08-12</t>
        </is>
      </c>
      <c r="L126" t="inlineStr">
        <is>
          <t>0001769628-26-000366</t>
        </is>
      </c>
      <c r="M126" t="inlineStr">
        <is>
          <t>CY2025Q2</t>
        </is>
      </c>
    </row>
    <row r="127">
      <c r="A127" t="inlineStr">
        <is>
          <t>net_income</t>
        </is>
      </c>
      <c r="B127" t="inlineStr">
        <is>
          <t>NetIncomeLoss</t>
        </is>
      </c>
      <c r="C127" t="inlineStr">
        <is>
          <t>us-gaap</t>
        </is>
      </c>
      <c r="D127" t="inlineStr">
        <is>
          <t>USD</t>
        </is>
      </c>
      <c r="E127" t="inlineStr">
        <is>
          <t>2025-01-01</t>
        </is>
      </c>
      <c r="F127" t="inlineStr">
        <is>
          <t>2025-09-30</t>
        </is>
      </c>
      <c r="G127" t="n">
        <v>-715274000</v>
      </c>
      <c r="H127" t="n">
        <v>2025</v>
      </c>
      <c r="I127" t="inlineStr">
        <is>
          <t>Q3</t>
        </is>
      </c>
      <c r="J127" t="inlineStr">
        <is>
          <t>10-Q</t>
        </is>
      </c>
      <c r="K127" t="inlineStr">
        <is>
          <t>2025-11-13</t>
        </is>
      </c>
      <c r="L127" t="inlineStr">
        <is>
          <t>0001769628-25-000062</t>
        </is>
      </c>
    </row>
    <row r="128">
      <c r="A128" t="inlineStr">
        <is>
          <t>net_income</t>
        </is>
      </c>
      <c r="B128" t="inlineStr">
        <is>
          <t>NetIncomeLoss</t>
        </is>
      </c>
      <c r="C128" t="inlineStr">
        <is>
          <t>us-gaap</t>
        </is>
      </c>
      <c r="D128" t="inlineStr">
        <is>
          <t>USD</t>
        </is>
      </c>
      <c r="E128" t="inlineStr">
        <is>
          <t>2025-07-01</t>
        </is>
      </c>
      <c r="F128" t="inlineStr">
        <is>
          <t>2025-09-30</t>
        </is>
      </c>
      <c r="G128" t="n">
        <v>-110124000</v>
      </c>
      <c r="H128" t="n">
        <v>2025</v>
      </c>
      <c r="I128" t="inlineStr">
        <is>
          <t>Q3</t>
        </is>
      </c>
      <c r="J128" t="inlineStr">
        <is>
          <t>10-Q</t>
        </is>
      </c>
      <c r="K128" t="inlineStr">
        <is>
          <t>2025-11-13</t>
        </is>
      </c>
      <c r="L128" t="inlineStr">
        <is>
          <t>0001769628-25-000062</t>
        </is>
      </c>
      <c r="M128" t="inlineStr">
        <is>
          <t>CY2025Q3</t>
        </is>
      </c>
    </row>
    <row r="129">
      <c r="A129" t="inlineStr">
        <is>
          <t>net_income</t>
        </is>
      </c>
      <c r="B129" t="inlineStr">
        <is>
          <t>NetIncomeLoss</t>
        </is>
      </c>
      <c r="C129" t="inlineStr">
        <is>
          <t>us-gaap</t>
        </is>
      </c>
      <c r="D129" t="inlineStr">
        <is>
          <t>USD</t>
        </is>
      </c>
      <c r="E129" t="inlineStr">
        <is>
          <t>2025-01-01</t>
        </is>
      </c>
      <c r="F129" t="inlineStr">
        <is>
          <t>2025-12-31</t>
        </is>
      </c>
      <c r="G129" t="n">
        <v>-1167000000</v>
      </c>
      <c r="H129" t="n">
        <v>2025</v>
      </c>
      <c r="I129" t="inlineStr">
        <is>
          <t>FY</t>
        </is>
      </c>
      <c r="J129" t="inlineStr">
        <is>
          <t>10-K</t>
        </is>
      </c>
      <c r="K129" t="inlineStr">
        <is>
          <t>2026-03-02</t>
        </is>
      </c>
      <c r="L129" t="inlineStr">
        <is>
          <t>0001769628-26-000104</t>
        </is>
      </c>
    </row>
    <row r="130">
      <c r="A130" t="inlineStr">
        <is>
          <t>net_income</t>
        </is>
      </c>
      <c r="B130" t="inlineStr">
        <is>
          <t>NetIncomeLoss</t>
        </is>
      </c>
      <c r="C130" t="inlineStr">
        <is>
          <t>us-gaap</t>
        </is>
      </c>
      <c r="D130" t="inlineStr">
        <is>
          <t>USD</t>
        </is>
      </c>
      <c r="E130" t="inlineStr">
        <is>
          <t>2025-01-01</t>
        </is>
      </c>
      <c r="F130" t="inlineStr">
        <is>
          <t>2025-12-31</t>
        </is>
      </c>
      <c r="G130" t="n">
        <v>-1168000000</v>
      </c>
      <c r="J130" t="inlineStr">
        <is>
          <t>DEF 14A</t>
        </is>
      </c>
      <c r="K130" t="inlineStr">
        <is>
          <t>2026-04-22</t>
        </is>
      </c>
      <c r="L130" t="inlineStr">
        <is>
          <t>0001769628-26-000191</t>
        </is>
      </c>
      <c r="M130" t="inlineStr">
        <is>
          <t>CY2025</t>
        </is>
      </c>
    </row>
    <row r="131">
      <c r="A131" t="inlineStr">
        <is>
          <t>net_income</t>
        </is>
      </c>
      <c r="B131" t="inlineStr">
        <is>
          <t>NetIncomeLoss</t>
        </is>
      </c>
      <c r="C131" t="inlineStr">
        <is>
          <t>us-gaap</t>
        </is>
      </c>
      <c r="D131" t="inlineStr">
        <is>
          <t>USD</t>
        </is>
      </c>
      <c r="E131" t="inlineStr">
        <is>
          <t>2026-01-01</t>
        </is>
      </c>
      <c r="F131" t="inlineStr">
        <is>
          <t>2026-03-31</t>
        </is>
      </c>
      <c r="G131" t="n">
        <v>-740000000</v>
      </c>
      <c r="H131" t="n">
        <v>2026</v>
      </c>
      <c r="I131" t="inlineStr">
        <is>
          <t>Q1</t>
        </is>
      </c>
      <c r="J131" t="inlineStr">
        <is>
          <t>10-Q</t>
        </is>
      </c>
      <c r="K131" t="inlineStr">
        <is>
          <t>2026-05-08</t>
        </is>
      </c>
      <c r="L131" t="inlineStr">
        <is>
          <t>0001769628-26-000222</t>
        </is>
      </c>
    </row>
    <row r="132">
      <c r="A132" t="inlineStr">
        <is>
          <t>net_income</t>
        </is>
      </c>
      <c r="B132" t="inlineStr">
        <is>
          <t>NetIncomeLoss</t>
        </is>
      </c>
      <c r="C132" t="inlineStr">
        <is>
          <t>us-gaap</t>
        </is>
      </c>
      <c r="D132" t="inlineStr">
        <is>
          <t>USD</t>
        </is>
      </c>
      <c r="E132" t="inlineStr">
        <is>
          <t>2026-01-01</t>
        </is>
      </c>
      <c r="F132" t="inlineStr">
        <is>
          <t>2026-03-31</t>
        </is>
      </c>
      <c r="G132" t="n">
        <v>-740000000</v>
      </c>
      <c r="H132" t="n">
        <v>2026</v>
      </c>
      <c r="I132" t="inlineStr">
        <is>
          <t>Q2</t>
        </is>
      </c>
      <c r="J132" t="inlineStr">
        <is>
          <t>10-Q</t>
        </is>
      </c>
      <c r="K132" t="inlineStr">
        <is>
          <t>2026-08-12</t>
        </is>
      </c>
      <c r="L132" t="inlineStr">
        <is>
          <t>0001769628-26-000366</t>
        </is>
      </c>
      <c r="M132" t="inlineStr">
        <is>
          <t>CY2026Q1</t>
        </is>
      </c>
    </row>
    <row r="133">
      <c r="A133" t="inlineStr">
        <is>
          <t>net_income</t>
        </is>
      </c>
      <c r="B133" t="inlineStr">
        <is>
          <t>NetIncomeLoss</t>
        </is>
      </c>
      <c r="C133" t="inlineStr">
        <is>
          <t>us-gaap</t>
        </is>
      </c>
      <c r="D133" t="inlineStr">
        <is>
          <t>USD</t>
        </is>
      </c>
      <c r="E133" t="inlineStr">
        <is>
          <t>2026-01-01</t>
        </is>
      </c>
      <c r="F133" t="inlineStr">
        <is>
          <t>2026-06-30</t>
        </is>
      </c>
      <c r="G133" t="n">
        <v>-1366000000</v>
      </c>
      <c r="H133" t="n">
        <v>2026</v>
      </c>
      <c r="I133" t="inlineStr">
        <is>
          <t>Q2</t>
        </is>
      </c>
      <c r="J133" t="inlineStr">
        <is>
          <t>10-Q</t>
        </is>
      </c>
      <c r="K133" t="inlineStr">
        <is>
          <t>2026-08-12</t>
        </is>
      </c>
      <c r="L133" t="inlineStr">
        <is>
          <t>0001769628-26-000366</t>
        </is>
      </c>
    </row>
    <row r="134">
      <c r="A134" t="inlineStr">
        <is>
          <t>net_income</t>
        </is>
      </c>
      <c r="B134" t="inlineStr">
        <is>
          <t>NetIncomeLoss</t>
        </is>
      </c>
      <c r="C134" t="inlineStr">
        <is>
          <t>us-gaap</t>
        </is>
      </c>
      <c r="D134" t="inlineStr">
        <is>
          <t>USD</t>
        </is>
      </c>
      <c r="E134" t="inlineStr">
        <is>
          <t>2026-04-01</t>
        </is>
      </c>
      <c r="F134" t="inlineStr">
        <is>
          <t>2026-06-30</t>
        </is>
      </c>
      <c r="G134" t="n">
        <v>-626000000</v>
      </c>
      <c r="H134" t="n">
        <v>2026</v>
      </c>
      <c r="I134" t="inlineStr">
        <is>
          <t>Q2</t>
        </is>
      </c>
      <c r="J134" t="inlineStr">
        <is>
          <t>10-Q</t>
        </is>
      </c>
      <c r="K134" t="inlineStr">
        <is>
          <t>2026-08-12</t>
        </is>
      </c>
      <c r="L134" t="inlineStr">
        <is>
          <t>0001769628-26-000366</t>
        </is>
      </c>
      <c r="M134" t="inlineStr">
        <is>
          <t>CY2026Q2</t>
        </is>
      </c>
    </row>
    <row r="135">
      <c r="A135" t="inlineStr">
        <is>
          <t>operating_income</t>
        </is>
      </c>
      <c r="B135" t="inlineStr">
        <is>
          <t>OperatingIncomeLoss</t>
        </is>
      </c>
      <c r="C135" t="inlineStr">
        <is>
          <t>us-gaap</t>
        </is>
      </c>
      <c r="D135" t="inlineStr">
        <is>
          <t>USD</t>
        </is>
      </c>
      <c r="E135" t="inlineStr">
        <is>
          <t>2023-01-01</t>
        </is>
      </c>
      <c r="F135" t="inlineStr">
        <is>
          <t>2023-12-31</t>
        </is>
      </c>
      <c r="G135" t="n">
        <v>-14000000</v>
      </c>
      <c r="H135" t="n">
        <v>2025</v>
      </c>
      <c r="I135" t="inlineStr">
        <is>
          <t>FY</t>
        </is>
      </c>
      <c r="J135" t="inlineStr">
        <is>
          <t>10-K</t>
        </is>
      </c>
      <c r="K135" t="inlineStr">
        <is>
          <t>2026-03-02</t>
        </is>
      </c>
      <c r="L135" t="inlineStr">
        <is>
          <t>0001769628-26-000104</t>
        </is>
      </c>
      <c r="M135" t="inlineStr">
        <is>
          <t>CY2023</t>
        </is>
      </c>
    </row>
    <row r="136">
      <c r="A136" t="inlineStr">
        <is>
          <t>operating_income</t>
        </is>
      </c>
      <c r="B136" t="inlineStr">
        <is>
          <t>OperatingIncomeLoss</t>
        </is>
      </c>
      <c r="C136" t="inlineStr">
        <is>
          <t>us-gaap</t>
        </is>
      </c>
      <c r="D136" t="inlineStr">
        <is>
          <t>USD</t>
        </is>
      </c>
      <c r="E136" t="inlineStr">
        <is>
          <t>2024-01-01</t>
        </is>
      </c>
      <c r="F136" t="inlineStr">
        <is>
          <t>2024-03-31</t>
        </is>
      </c>
      <c r="G136" t="n">
        <v>16847000</v>
      </c>
      <c r="H136" t="n">
        <v>2025</v>
      </c>
      <c r="I136" t="inlineStr">
        <is>
          <t>Q1</t>
        </is>
      </c>
      <c r="J136" t="inlineStr">
        <is>
          <t>10-Q</t>
        </is>
      </c>
      <c r="K136" t="inlineStr">
        <is>
          <t>2025-05-15</t>
        </is>
      </c>
      <c r="L136" t="inlineStr">
        <is>
          <t>0001769628-25-000014</t>
        </is>
      </c>
      <c r="M136" t="inlineStr">
        <is>
          <t>CY2024Q1</t>
        </is>
      </c>
    </row>
    <row r="137">
      <c r="A137" t="inlineStr">
        <is>
          <t>operating_income</t>
        </is>
      </c>
      <c r="B137" t="inlineStr">
        <is>
          <t>OperatingIncomeLoss</t>
        </is>
      </c>
      <c r="C137" t="inlineStr">
        <is>
          <t>us-gaap</t>
        </is>
      </c>
      <c r="D137" t="inlineStr">
        <is>
          <t>USD</t>
        </is>
      </c>
      <c r="E137" t="inlineStr">
        <is>
          <t>2024-01-01</t>
        </is>
      </c>
      <c r="F137" t="inlineStr">
        <is>
          <t>2024-06-30</t>
        </is>
      </c>
      <c r="G137" t="n">
        <v>94568000</v>
      </c>
      <c r="H137" t="n">
        <v>2025</v>
      </c>
      <c r="I137" t="inlineStr">
        <is>
          <t>Q2</t>
        </is>
      </c>
      <c r="J137" t="inlineStr">
        <is>
          <t>10-Q</t>
        </is>
      </c>
      <c r="K137" t="inlineStr">
        <is>
          <t>2025-08-13</t>
        </is>
      </c>
      <c r="L137" t="inlineStr">
        <is>
          <t>0001769628-25-000041</t>
        </is>
      </c>
    </row>
    <row r="138">
      <c r="A138" t="inlineStr">
        <is>
          <t>operating_income</t>
        </is>
      </c>
      <c r="B138" t="inlineStr">
        <is>
          <t>OperatingIncomeLoss</t>
        </is>
      </c>
      <c r="C138" t="inlineStr">
        <is>
          <t>us-gaap</t>
        </is>
      </c>
      <c r="D138" t="inlineStr">
        <is>
          <t>USD</t>
        </is>
      </c>
      <c r="E138" t="inlineStr">
        <is>
          <t>2024-04-01</t>
        </is>
      </c>
      <c r="F138" t="inlineStr">
        <is>
          <t>2024-06-30</t>
        </is>
      </c>
      <c r="G138" t="n">
        <v>77721000</v>
      </c>
      <c r="H138" t="n">
        <v>2025</v>
      </c>
      <c r="I138" t="inlineStr">
        <is>
          <t>Q2</t>
        </is>
      </c>
      <c r="J138" t="inlineStr">
        <is>
          <t>10-Q</t>
        </is>
      </c>
      <c r="K138" t="inlineStr">
        <is>
          <t>2025-08-13</t>
        </is>
      </c>
      <c r="L138" t="inlineStr">
        <is>
          <t>0001769628-25-000041</t>
        </is>
      </c>
      <c r="M138" t="inlineStr">
        <is>
          <t>CY2024Q2</t>
        </is>
      </c>
    </row>
    <row r="139">
      <c r="A139" t="inlineStr">
        <is>
          <t>operating_income</t>
        </is>
      </c>
      <c r="B139" t="inlineStr">
        <is>
          <t>OperatingIncomeLoss</t>
        </is>
      </c>
      <c r="C139" t="inlineStr">
        <is>
          <t>us-gaap</t>
        </is>
      </c>
      <c r="D139" t="inlineStr">
        <is>
          <t>USD</t>
        </is>
      </c>
      <c r="E139" t="inlineStr">
        <is>
          <t>2024-01-01</t>
        </is>
      </c>
      <c r="F139" t="inlineStr">
        <is>
          <t>2024-09-30</t>
        </is>
      </c>
      <c r="G139" t="n">
        <v>211684000</v>
      </c>
      <c r="H139" t="n">
        <v>2025</v>
      </c>
      <c r="I139" t="inlineStr">
        <is>
          <t>Q3</t>
        </is>
      </c>
      <c r="J139" t="inlineStr">
        <is>
          <t>10-Q</t>
        </is>
      </c>
      <c r="K139" t="inlineStr">
        <is>
          <t>2025-11-13</t>
        </is>
      </c>
      <c r="L139" t="inlineStr">
        <is>
          <t>0001769628-25-000062</t>
        </is>
      </c>
    </row>
    <row r="140">
      <c r="A140" t="inlineStr">
        <is>
          <t>operating_income</t>
        </is>
      </c>
      <c r="B140" t="inlineStr">
        <is>
          <t>OperatingIncomeLoss</t>
        </is>
      </c>
      <c r="C140" t="inlineStr">
        <is>
          <t>us-gaap</t>
        </is>
      </c>
      <c r="D140" t="inlineStr">
        <is>
          <t>USD</t>
        </is>
      </c>
      <c r="E140" t="inlineStr">
        <is>
          <t>2024-07-01</t>
        </is>
      </c>
      <c r="F140" t="inlineStr">
        <is>
          <t>2024-09-30</t>
        </is>
      </c>
      <c r="G140" t="n">
        <v>117116000</v>
      </c>
      <c r="H140" t="n">
        <v>2025</v>
      </c>
      <c r="I140" t="inlineStr">
        <is>
          <t>Q3</t>
        </is>
      </c>
      <c r="J140" t="inlineStr">
        <is>
          <t>10-Q</t>
        </is>
      </c>
      <c r="K140" t="inlineStr">
        <is>
          <t>2025-11-13</t>
        </is>
      </c>
      <c r="L140" t="inlineStr">
        <is>
          <t>0001769628-25-000062</t>
        </is>
      </c>
      <c r="M140" t="inlineStr">
        <is>
          <t>CY2024Q3</t>
        </is>
      </c>
    </row>
    <row r="141">
      <c r="A141" t="inlineStr">
        <is>
          <t>operating_income</t>
        </is>
      </c>
      <c r="B141" t="inlineStr">
        <is>
          <t>OperatingIncomeLoss</t>
        </is>
      </c>
      <c r="C141" t="inlineStr">
        <is>
          <t>us-gaap</t>
        </is>
      </c>
      <c r="D141" t="inlineStr">
        <is>
          <t>USD</t>
        </is>
      </c>
      <c r="E141" t="inlineStr">
        <is>
          <t>2024-01-01</t>
        </is>
      </c>
      <c r="F141" t="inlineStr">
        <is>
          <t>2024-12-31</t>
        </is>
      </c>
      <c r="G141" t="n">
        <v>324000000</v>
      </c>
      <c r="H141" t="n">
        <v>2025</v>
      </c>
      <c r="I141" t="inlineStr">
        <is>
          <t>FY</t>
        </is>
      </c>
      <c r="J141" t="inlineStr">
        <is>
          <t>10-K</t>
        </is>
      </c>
      <c r="K141" t="inlineStr">
        <is>
          <t>2026-03-02</t>
        </is>
      </c>
      <c r="L141" t="inlineStr">
        <is>
          <t>0001769628-26-000104</t>
        </is>
      </c>
      <c r="M141" t="inlineStr">
        <is>
          <t>CY2024</t>
        </is>
      </c>
    </row>
    <row r="142">
      <c r="A142" t="inlineStr">
        <is>
          <t>operating_income</t>
        </is>
      </c>
      <c r="B142" t="inlineStr">
        <is>
          <t>OperatingIncomeLoss</t>
        </is>
      </c>
      <c r="C142" t="inlineStr">
        <is>
          <t>us-gaap</t>
        </is>
      </c>
      <c r="D142" t="inlineStr">
        <is>
          <t>USD</t>
        </is>
      </c>
      <c r="E142" t="inlineStr">
        <is>
          <t>2025-01-01</t>
        </is>
      </c>
      <c r="F142" t="inlineStr">
        <is>
          <t>2025-03-31</t>
        </is>
      </c>
      <c r="G142" t="n">
        <v>-27470000</v>
      </c>
      <c r="H142" t="n">
        <v>2025</v>
      </c>
      <c r="I142" t="inlineStr">
        <is>
          <t>Q1</t>
        </is>
      </c>
      <c r="J142" t="inlineStr">
        <is>
          <t>10-Q</t>
        </is>
      </c>
      <c r="K142" t="inlineStr">
        <is>
          <t>2025-05-15</t>
        </is>
      </c>
      <c r="L142" t="inlineStr">
        <is>
          <t>0001769628-25-000014</t>
        </is>
      </c>
    </row>
    <row r="143">
      <c r="A143" t="inlineStr">
        <is>
          <t>operating_income</t>
        </is>
      </c>
      <c r="B143" t="inlineStr">
        <is>
          <t>OperatingIncomeLoss</t>
        </is>
      </c>
      <c r="C143" t="inlineStr">
        <is>
          <t>us-gaap</t>
        </is>
      </c>
      <c r="D143" t="inlineStr">
        <is>
          <t>USD</t>
        </is>
      </c>
      <c r="E143" t="inlineStr">
        <is>
          <t>2025-01-01</t>
        </is>
      </c>
      <c r="F143" t="inlineStr">
        <is>
          <t>2025-03-31</t>
        </is>
      </c>
      <c r="G143" t="n">
        <v>-27000000</v>
      </c>
      <c r="H143" t="n">
        <v>2026</v>
      </c>
      <c r="I143" t="inlineStr">
        <is>
          <t>Q1</t>
        </is>
      </c>
      <c r="J143" t="inlineStr">
        <is>
          <t>10-Q</t>
        </is>
      </c>
      <c r="K143" t="inlineStr">
        <is>
          <t>2026-05-08</t>
        </is>
      </c>
      <c r="L143" t="inlineStr">
        <is>
          <t>0001769628-26-000222</t>
        </is>
      </c>
      <c r="M143" t="inlineStr">
        <is>
          <t>CY2025Q1</t>
        </is>
      </c>
    </row>
    <row r="144">
      <c r="A144" t="inlineStr">
        <is>
          <t>operating_income</t>
        </is>
      </c>
      <c r="B144" t="inlineStr">
        <is>
          <t>OperatingIncomeLoss</t>
        </is>
      </c>
      <c r="C144" t="inlineStr">
        <is>
          <t>us-gaap</t>
        </is>
      </c>
      <c r="D144" t="inlineStr">
        <is>
          <t>USD</t>
        </is>
      </c>
      <c r="E144" t="inlineStr">
        <is>
          <t>2025-01-01</t>
        </is>
      </c>
      <c r="F144" t="inlineStr">
        <is>
          <t>2025-06-30</t>
        </is>
      </c>
      <c r="G144" t="n">
        <v>-8261000</v>
      </c>
      <c r="H144" t="n">
        <v>2025</v>
      </c>
      <c r="I144" t="inlineStr">
        <is>
          <t>Q2</t>
        </is>
      </c>
      <c r="J144" t="inlineStr">
        <is>
          <t>10-Q</t>
        </is>
      </c>
      <c r="K144" t="inlineStr">
        <is>
          <t>2025-08-13</t>
        </is>
      </c>
      <c r="L144" t="inlineStr">
        <is>
          <t>0001769628-25-000041</t>
        </is>
      </c>
    </row>
    <row r="145">
      <c r="A145" t="inlineStr">
        <is>
          <t>operating_income</t>
        </is>
      </c>
      <c r="B145" t="inlineStr">
        <is>
          <t>OperatingIncomeLoss</t>
        </is>
      </c>
      <c r="C145" t="inlineStr">
        <is>
          <t>us-gaap</t>
        </is>
      </c>
      <c r="D145" t="inlineStr">
        <is>
          <t>USD</t>
        </is>
      </c>
      <c r="E145" t="inlineStr">
        <is>
          <t>2025-04-01</t>
        </is>
      </c>
      <c r="F145" t="inlineStr">
        <is>
          <t>2025-06-30</t>
        </is>
      </c>
      <c r="G145" t="n">
        <v>19209000</v>
      </c>
      <c r="H145" t="n">
        <v>2025</v>
      </c>
      <c r="I145" t="inlineStr">
        <is>
          <t>Q2</t>
        </is>
      </c>
      <c r="J145" t="inlineStr">
        <is>
          <t>10-Q</t>
        </is>
      </c>
      <c r="K145" t="inlineStr">
        <is>
          <t>2025-08-13</t>
        </is>
      </c>
      <c r="L145" t="inlineStr">
        <is>
          <t>0001769628-25-000041</t>
        </is>
      </c>
    </row>
    <row r="146">
      <c r="A146" t="inlineStr">
        <is>
          <t>operating_income</t>
        </is>
      </c>
      <c r="B146" t="inlineStr">
        <is>
          <t>OperatingIncomeLoss</t>
        </is>
      </c>
      <c r="C146" t="inlineStr">
        <is>
          <t>us-gaap</t>
        </is>
      </c>
      <c r="D146" t="inlineStr">
        <is>
          <t>USD</t>
        </is>
      </c>
      <c r="E146" t="inlineStr">
        <is>
          <t>2025-01-01</t>
        </is>
      </c>
      <c r="F146" t="inlineStr">
        <is>
          <t>2025-06-30</t>
        </is>
      </c>
      <c r="G146" t="n">
        <v>-8000000</v>
      </c>
      <c r="H146" t="n">
        <v>2026</v>
      </c>
      <c r="I146" t="inlineStr">
        <is>
          <t>Q2</t>
        </is>
      </c>
      <c r="J146" t="inlineStr">
        <is>
          <t>10-Q</t>
        </is>
      </c>
      <c r="K146" t="inlineStr">
        <is>
          <t>2026-08-12</t>
        </is>
      </c>
      <c r="L146" t="inlineStr">
        <is>
          <t>0001769628-26-000366</t>
        </is>
      </c>
    </row>
    <row r="147">
      <c r="A147" t="inlineStr">
        <is>
          <t>operating_income</t>
        </is>
      </c>
      <c r="B147" t="inlineStr">
        <is>
          <t>OperatingIncomeLoss</t>
        </is>
      </c>
      <c r="C147" t="inlineStr">
        <is>
          <t>us-gaap</t>
        </is>
      </c>
      <c r="D147" t="inlineStr">
        <is>
          <t>USD</t>
        </is>
      </c>
      <c r="E147" t="inlineStr">
        <is>
          <t>2025-04-01</t>
        </is>
      </c>
      <c r="F147" t="inlineStr">
        <is>
          <t>2025-06-30</t>
        </is>
      </c>
      <c r="G147" t="n">
        <v>19000000</v>
      </c>
      <c r="H147" t="n">
        <v>2026</v>
      </c>
      <c r="I147" t="inlineStr">
        <is>
          <t>Q2</t>
        </is>
      </c>
      <c r="J147" t="inlineStr">
        <is>
          <t>10-Q</t>
        </is>
      </c>
      <c r="K147" t="inlineStr">
        <is>
          <t>2026-08-12</t>
        </is>
      </c>
      <c r="L147" t="inlineStr">
        <is>
          <t>0001769628-26-000366</t>
        </is>
      </c>
      <c r="M147" t="inlineStr">
        <is>
          <t>CY2025Q2</t>
        </is>
      </c>
    </row>
    <row r="148">
      <c r="A148" t="inlineStr">
        <is>
          <t>operating_income</t>
        </is>
      </c>
      <c r="B148" t="inlineStr">
        <is>
          <t>OperatingIncomeLoss</t>
        </is>
      </c>
      <c r="C148" t="inlineStr">
        <is>
          <t>us-gaap</t>
        </is>
      </c>
      <c r="D148" t="inlineStr">
        <is>
          <t>USD</t>
        </is>
      </c>
      <c r="E148" t="inlineStr">
        <is>
          <t>2025-01-01</t>
        </is>
      </c>
      <c r="F148" t="inlineStr">
        <is>
          <t>2025-09-30</t>
        </is>
      </c>
      <c r="G148" t="n">
        <v>43589000</v>
      </c>
      <c r="H148" t="n">
        <v>2025</v>
      </c>
      <c r="I148" t="inlineStr">
        <is>
          <t>Q3</t>
        </is>
      </c>
      <c r="J148" t="inlineStr">
        <is>
          <t>10-Q</t>
        </is>
      </c>
      <c r="K148" t="inlineStr">
        <is>
          <t>2025-11-13</t>
        </is>
      </c>
      <c r="L148" t="inlineStr">
        <is>
          <t>0001769628-25-000062</t>
        </is>
      </c>
    </row>
    <row r="149">
      <c r="A149" t="inlineStr">
        <is>
          <t>operating_income</t>
        </is>
      </c>
      <c r="B149" t="inlineStr">
        <is>
          <t>OperatingIncomeLoss</t>
        </is>
      </c>
      <c r="C149" t="inlineStr">
        <is>
          <t>us-gaap</t>
        </is>
      </c>
      <c r="D149" t="inlineStr">
        <is>
          <t>USD</t>
        </is>
      </c>
      <c r="E149" t="inlineStr">
        <is>
          <t>2025-07-01</t>
        </is>
      </c>
      <c r="F149" t="inlineStr">
        <is>
          <t>2025-09-30</t>
        </is>
      </c>
      <c r="G149" t="n">
        <v>51850000</v>
      </c>
      <c r="H149" t="n">
        <v>2025</v>
      </c>
      <c r="I149" t="inlineStr">
        <is>
          <t>Q3</t>
        </is>
      </c>
      <c r="J149" t="inlineStr">
        <is>
          <t>10-Q</t>
        </is>
      </c>
      <c r="K149" t="inlineStr">
        <is>
          <t>2025-11-13</t>
        </is>
      </c>
      <c r="L149" t="inlineStr">
        <is>
          <t>0001769628-25-000062</t>
        </is>
      </c>
      <c r="M149" t="inlineStr">
        <is>
          <t>CY2025Q3</t>
        </is>
      </c>
    </row>
    <row r="150">
      <c r="A150" t="inlineStr">
        <is>
          <t>operating_income</t>
        </is>
      </c>
      <c r="B150" t="inlineStr">
        <is>
          <t>OperatingIncomeLoss</t>
        </is>
      </c>
      <c r="C150" t="inlineStr">
        <is>
          <t>us-gaap</t>
        </is>
      </c>
      <c r="D150" t="inlineStr">
        <is>
          <t>USD</t>
        </is>
      </c>
      <c r="E150" t="inlineStr">
        <is>
          <t>2025-01-01</t>
        </is>
      </c>
      <c r="F150" t="inlineStr">
        <is>
          <t>2025-12-31</t>
        </is>
      </c>
      <c r="G150" t="n">
        <v>-46000000</v>
      </c>
      <c r="H150" t="n">
        <v>2025</v>
      </c>
      <c r="I150" t="inlineStr">
        <is>
          <t>FY</t>
        </is>
      </c>
      <c r="J150" t="inlineStr">
        <is>
          <t>10-K</t>
        </is>
      </c>
      <c r="K150" t="inlineStr">
        <is>
          <t>2026-03-02</t>
        </is>
      </c>
      <c r="L150" t="inlineStr">
        <is>
          <t>0001769628-26-000104</t>
        </is>
      </c>
      <c r="M150" t="inlineStr">
        <is>
          <t>CY2025</t>
        </is>
      </c>
    </row>
    <row r="151">
      <c r="A151" t="inlineStr">
        <is>
          <t>operating_income</t>
        </is>
      </c>
      <c r="B151" t="inlineStr">
        <is>
          <t>OperatingIncomeLoss</t>
        </is>
      </c>
      <c r="C151" t="inlineStr">
        <is>
          <t>us-gaap</t>
        </is>
      </c>
      <c r="D151" t="inlineStr">
        <is>
          <t>USD</t>
        </is>
      </c>
      <c r="E151" t="inlineStr">
        <is>
          <t>2026-01-01</t>
        </is>
      </c>
      <c r="F151" t="inlineStr">
        <is>
          <t>2026-03-31</t>
        </is>
      </c>
      <c r="G151" t="n">
        <v>-144000000</v>
      </c>
      <c r="H151" t="n">
        <v>2026</v>
      </c>
      <c r="I151" t="inlineStr">
        <is>
          <t>Q1</t>
        </is>
      </c>
      <c r="J151" t="inlineStr">
        <is>
          <t>10-Q</t>
        </is>
      </c>
      <c r="K151" t="inlineStr">
        <is>
          <t>2026-05-08</t>
        </is>
      </c>
      <c r="L151" t="inlineStr">
        <is>
          <t>0001769628-26-000222</t>
        </is>
      </c>
      <c r="M151" t="inlineStr">
        <is>
          <t>CY2026Q1</t>
        </is>
      </c>
    </row>
    <row r="152">
      <c r="A152" t="inlineStr">
        <is>
          <t>operating_income</t>
        </is>
      </c>
      <c r="B152" t="inlineStr">
        <is>
          <t>OperatingIncomeLoss</t>
        </is>
      </c>
      <c r="C152" t="inlineStr">
        <is>
          <t>us-gaap</t>
        </is>
      </c>
      <c r="D152" t="inlineStr">
        <is>
          <t>USD</t>
        </is>
      </c>
      <c r="E152" t="inlineStr">
        <is>
          <t>2026-01-01</t>
        </is>
      </c>
      <c r="F152" t="inlineStr">
        <is>
          <t>2026-06-30</t>
        </is>
      </c>
      <c r="G152" t="n">
        <v>-193000000</v>
      </c>
      <c r="H152" t="n">
        <v>2026</v>
      </c>
      <c r="I152" t="inlineStr">
        <is>
          <t>Q2</t>
        </is>
      </c>
      <c r="J152" t="inlineStr">
        <is>
          <t>10-Q</t>
        </is>
      </c>
      <c r="K152" t="inlineStr">
        <is>
          <t>2026-08-12</t>
        </is>
      </c>
      <c r="L152" t="inlineStr">
        <is>
          <t>0001769628-26-000366</t>
        </is>
      </c>
    </row>
    <row r="153">
      <c r="A153" t="inlineStr">
        <is>
          <t>operating_income</t>
        </is>
      </c>
      <c r="B153" t="inlineStr">
        <is>
          <t>OperatingIncomeLoss</t>
        </is>
      </c>
      <c r="C153" t="inlineStr">
        <is>
          <t>us-gaap</t>
        </is>
      </c>
      <c r="D153" t="inlineStr">
        <is>
          <t>USD</t>
        </is>
      </c>
      <c r="E153" t="inlineStr">
        <is>
          <t>2026-04-01</t>
        </is>
      </c>
      <c r="F153" t="inlineStr">
        <is>
          <t>2026-06-30</t>
        </is>
      </c>
      <c r="G153" t="n">
        <v>-49000000</v>
      </c>
      <c r="H153" t="n">
        <v>2026</v>
      </c>
      <c r="I153" t="inlineStr">
        <is>
          <t>Q2</t>
        </is>
      </c>
      <c r="J153" t="inlineStr">
        <is>
          <t>10-Q</t>
        </is>
      </c>
      <c r="K153" t="inlineStr">
        <is>
          <t>2026-08-12</t>
        </is>
      </c>
      <c r="L153" t="inlineStr">
        <is>
          <t>0001769628-26-000366</t>
        </is>
      </c>
      <c r="M153" t="inlineStr">
        <is>
          <t>CY2026Q2</t>
        </is>
      </c>
    </row>
    <row r="154">
      <c r="A154" t="inlineStr">
        <is>
          <t>ppe_net</t>
        </is>
      </c>
      <c r="B154" t="inlineStr">
        <is>
          <t>PropertyPlantAndEquipmentNet</t>
        </is>
      </c>
      <c r="C154" t="inlineStr">
        <is>
          <t>us-gaap</t>
        </is>
      </c>
      <c r="D154" t="inlineStr">
        <is>
          <t>USD</t>
        </is>
      </c>
      <c r="F154" t="inlineStr">
        <is>
          <t>2024-12-31</t>
        </is>
      </c>
      <c r="G154" t="n">
        <v>11914774000</v>
      </c>
      <c r="H154" t="n">
        <v>2025</v>
      </c>
      <c r="I154" t="inlineStr">
        <is>
          <t>Q1</t>
        </is>
      </c>
      <c r="J154" t="inlineStr">
        <is>
          <t>10-Q</t>
        </is>
      </c>
      <c r="K154" t="inlineStr">
        <is>
          <t>2025-05-15</t>
        </is>
      </c>
      <c r="L154" t="inlineStr">
        <is>
          <t>0001769628-25-000014</t>
        </is>
      </c>
    </row>
    <row r="155">
      <c r="A155" t="inlineStr">
        <is>
          <t>ppe_net</t>
        </is>
      </c>
      <c r="B155" t="inlineStr">
        <is>
          <t>PropertyPlantAndEquipmentNet</t>
        </is>
      </c>
      <c r="C155" t="inlineStr">
        <is>
          <t>us-gaap</t>
        </is>
      </c>
      <c r="D155" t="inlineStr">
        <is>
          <t>USD</t>
        </is>
      </c>
      <c r="F155" t="inlineStr">
        <is>
          <t>2024-12-31</t>
        </is>
      </c>
      <c r="G155" t="n">
        <v>11914774000</v>
      </c>
      <c r="H155" t="n">
        <v>2025</v>
      </c>
      <c r="I155" t="inlineStr">
        <is>
          <t>Q2</t>
        </is>
      </c>
      <c r="J155" t="inlineStr">
        <is>
          <t>10-Q</t>
        </is>
      </c>
      <c r="K155" t="inlineStr">
        <is>
          <t>2025-08-13</t>
        </is>
      </c>
      <c r="L155" t="inlineStr">
        <is>
          <t>0001769628-25-000041</t>
        </is>
      </c>
    </row>
    <row r="156">
      <c r="A156" t="inlineStr">
        <is>
          <t>ppe_net</t>
        </is>
      </c>
      <c r="B156" t="inlineStr">
        <is>
          <t>PropertyPlantAndEquipmentNet</t>
        </is>
      </c>
      <c r="C156" t="inlineStr">
        <is>
          <t>us-gaap</t>
        </is>
      </c>
      <c r="D156" t="inlineStr">
        <is>
          <t>USD</t>
        </is>
      </c>
      <c r="F156" t="inlineStr">
        <is>
          <t>2024-12-31</t>
        </is>
      </c>
      <c r="G156" t="n">
        <v>11914774000</v>
      </c>
      <c r="H156" t="n">
        <v>2025</v>
      </c>
      <c r="I156" t="inlineStr">
        <is>
          <t>Q3</t>
        </is>
      </c>
      <c r="J156" t="inlineStr">
        <is>
          <t>10-Q</t>
        </is>
      </c>
      <c r="K156" t="inlineStr">
        <is>
          <t>2025-11-13</t>
        </is>
      </c>
      <c r="L156" t="inlineStr">
        <is>
          <t>0001769628-25-000062</t>
        </is>
      </c>
    </row>
    <row r="157">
      <c r="A157" t="inlineStr">
        <is>
          <t>ppe_net</t>
        </is>
      </c>
      <c r="B157" t="inlineStr">
        <is>
          <t>PropertyPlantAndEquipmentNet</t>
        </is>
      </c>
      <c r="C157" t="inlineStr">
        <is>
          <t>us-gaap</t>
        </is>
      </c>
      <c r="D157" t="inlineStr">
        <is>
          <t>USD</t>
        </is>
      </c>
      <c r="F157" t="inlineStr">
        <is>
          <t>2024-12-31</t>
        </is>
      </c>
      <c r="G157" t="n">
        <v>11915000000</v>
      </c>
      <c r="H157" t="n">
        <v>2025</v>
      </c>
      <c r="I157" t="inlineStr">
        <is>
          <t>FY</t>
        </is>
      </c>
      <c r="J157" t="inlineStr">
        <is>
          <t>10-K</t>
        </is>
      </c>
      <c r="K157" t="inlineStr">
        <is>
          <t>2026-03-02</t>
        </is>
      </c>
      <c r="L157" t="inlineStr">
        <is>
          <t>0001769628-26-000104</t>
        </is>
      </c>
      <c r="M157" t="inlineStr">
        <is>
          <t>CY2024Q4I</t>
        </is>
      </c>
    </row>
    <row r="158">
      <c r="A158" t="inlineStr">
        <is>
          <t>ppe_net</t>
        </is>
      </c>
      <c r="B158" t="inlineStr">
        <is>
          <t>PropertyPlantAndEquipmentNet</t>
        </is>
      </c>
      <c r="C158" t="inlineStr">
        <is>
          <t>us-gaap</t>
        </is>
      </c>
      <c r="D158" t="inlineStr">
        <is>
          <t>USD</t>
        </is>
      </c>
      <c r="F158" t="inlineStr">
        <is>
          <t>2025-03-31</t>
        </is>
      </c>
      <c r="G158" t="n">
        <v>14210992000</v>
      </c>
      <c r="H158" t="n">
        <v>2025</v>
      </c>
      <c r="I158" t="inlineStr">
        <is>
          <t>Q1</t>
        </is>
      </c>
      <c r="J158" t="inlineStr">
        <is>
          <t>10-Q</t>
        </is>
      </c>
      <c r="K158" t="inlineStr">
        <is>
          <t>2025-05-15</t>
        </is>
      </c>
      <c r="L158" t="inlineStr">
        <is>
          <t>0001769628-25-000014</t>
        </is>
      </c>
      <c r="M158" t="inlineStr">
        <is>
          <t>CY2025Q1I</t>
        </is>
      </c>
    </row>
    <row r="159">
      <c r="A159" t="inlineStr">
        <is>
          <t>ppe_net</t>
        </is>
      </c>
      <c r="B159" t="inlineStr">
        <is>
          <t>PropertyPlantAndEquipmentNet</t>
        </is>
      </c>
      <c r="C159" t="inlineStr">
        <is>
          <t>us-gaap</t>
        </is>
      </c>
      <c r="D159" t="inlineStr">
        <is>
          <t>USD</t>
        </is>
      </c>
      <c r="F159" t="inlineStr">
        <is>
          <t>2025-06-30</t>
        </is>
      </c>
      <c r="G159" t="n">
        <v>16631510000</v>
      </c>
      <c r="H159" t="n">
        <v>2025</v>
      </c>
      <c r="I159" t="inlineStr">
        <is>
          <t>Q2</t>
        </is>
      </c>
      <c r="J159" t="inlineStr">
        <is>
          <t>10-Q</t>
        </is>
      </c>
      <c r="K159" t="inlineStr">
        <is>
          <t>2025-08-13</t>
        </is>
      </c>
      <c r="L159" t="inlineStr">
        <is>
          <t>0001769628-25-000041</t>
        </is>
      </c>
      <c r="M159" t="inlineStr">
        <is>
          <t>CY2025Q2I</t>
        </is>
      </c>
    </row>
    <row r="160">
      <c r="A160" t="inlineStr">
        <is>
          <t>ppe_net</t>
        </is>
      </c>
      <c r="B160" t="inlineStr">
        <is>
          <t>PropertyPlantAndEquipmentNet</t>
        </is>
      </c>
      <c r="C160" t="inlineStr">
        <is>
          <t>us-gaap</t>
        </is>
      </c>
      <c r="D160" t="inlineStr">
        <is>
          <t>USD</t>
        </is>
      </c>
      <c r="F160" t="inlineStr">
        <is>
          <t>2025-09-30</t>
        </is>
      </c>
      <c r="G160" t="n">
        <v>20659181000</v>
      </c>
      <c r="H160" t="n">
        <v>2025</v>
      </c>
      <c r="I160" t="inlineStr">
        <is>
          <t>Q3</t>
        </is>
      </c>
      <c r="J160" t="inlineStr">
        <is>
          <t>10-Q</t>
        </is>
      </c>
      <c r="K160" t="inlineStr">
        <is>
          <t>2025-11-13</t>
        </is>
      </c>
      <c r="L160" t="inlineStr">
        <is>
          <t>0001769628-25-000062</t>
        </is>
      </c>
      <c r="M160" t="inlineStr">
        <is>
          <t>CY2025Q3I</t>
        </is>
      </c>
    </row>
    <row r="161">
      <c r="A161" t="inlineStr">
        <is>
          <t>ppe_net</t>
        </is>
      </c>
      <c r="B161" t="inlineStr">
        <is>
          <t>PropertyPlantAndEquipmentNet</t>
        </is>
      </c>
      <c r="C161" t="inlineStr">
        <is>
          <t>us-gaap</t>
        </is>
      </c>
      <c r="D161" t="inlineStr">
        <is>
          <t>USD</t>
        </is>
      </c>
      <c r="F161" t="inlineStr">
        <is>
          <t>2025-12-31</t>
        </is>
      </c>
      <c r="G161" t="n">
        <v>30557000000</v>
      </c>
      <c r="H161" t="n">
        <v>2025</v>
      </c>
      <c r="I161" t="inlineStr">
        <is>
          <t>FY</t>
        </is>
      </c>
      <c r="J161" t="inlineStr">
        <is>
          <t>10-K</t>
        </is>
      </c>
      <c r="K161" t="inlineStr">
        <is>
          <t>2026-03-02</t>
        </is>
      </c>
      <c r="L161" t="inlineStr">
        <is>
          <t>0001769628-26-000104</t>
        </is>
      </c>
    </row>
    <row r="162">
      <c r="A162" t="inlineStr">
        <is>
          <t>ppe_net</t>
        </is>
      </c>
      <c r="B162" t="inlineStr">
        <is>
          <t>PropertyPlantAndEquipmentNet</t>
        </is>
      </c>
      <c r="C162" t="inlineStr">
        <is>
          <t>us-gaap</t>
        </is>
      </c>
      <c r="D162" t="inlineStr">
        <is>
          <t>USD</t>
        </is>
      </c>
      <c r="F162" t="inlineStr">
        <is>
          <t>2025-12-31</t>
        </is>
      </c>
      <c r="G162" t="n">
        <v>30557000000</v>
      </c>
      <c r="H162" t="n">
        <v>2026</v>
      </c>
      <c r="I162" t="inlineStr">
        <is>
          <t>Q1</t>
        </is>
      </c>
      <c r="J162" t="inlineStr">
        <is>
          <t>10-Q</t>
        </is>
      </c>
      <c r="K162" t="inlineStr">
        <is>
          <t>2026-05-08</t>
        </is>
      </c>
      <c r="L162" t="inlineStr">
        <is>
          <t>0001769628-26-000222</t>
        </is>
      </c>
    </row>
    <row r="163">
      <c r="A163" t="inlineStr">
        <is>
          <t>ppe_net</t>
        </is>
      </c>
      <c r="B163" t="inlineStr">
        <is>
          <t>PropertyPlantAndEquipmentNet</t>
        </is>
      </c>
      <c r="C163" t="inlineStr">
        <is>
          <t>us-gaap</t>
        </is>
      </c>
      <c r="D163" t="inlineStr">
        <is>
          <t>USD</t>
        </is>
      </c>
      <c r="F163" t="inlineStr">
        <is>
          <t>2025-12-31</t>
        </is>
      </c>
      <c r="G163" t="n">
        <v>30557000000</v>
      </c>
      <c r="H163" t="n">
        <v>2026</v>
      </c>
      <c r="I163" t="inlineStr">
        <is>
          <t>Q2</t>
        </is>
      </c>
      <c r="J163" t="inlineStr">
        <is>
          <t>10-Q</t>
        </is>
      </c>
      <c r="K163" t="inlineStr">
        <is>
          <t>2026-08-12</t>
        </is>
      </c>
      <c r="L163" t="inlineStr">
        <is>
          <t>0001769628-26-000366</t>
        </is>
      </c>
      <c r="M163" t="inlineStr">
        <is>
          <t>CY2025Q4I</t>
        </is>
      </c>
    </row>
    <row r="164">
      <c r="A164" t="inlineStr">
        <is>
          <t>ppe_net</t>
        </is>
      </c>
      <c r="B164" t="inlineStr">
        <is>
          <t>PropertyPlantAndEquipmentNet</t>
        </is>
      </c>
      <c r="C164" t="inlineStr">
        <is>
          <t>us-gaap</t>
        </is>
      </c>
      <c r="D164" t="inlineStr">
        <is>
          <t>USD</t>
        </is>
      </c>
      <c r="F164" t="inlineStr">
        <is>
          <t>2026-03-31</t>
        </is>
      </c>
      <c r="G164" t="n">
        <v>36424000000</v>
      </c>
      <c r="H164" t="n">
        <v>2026</v>
      </c>
      <c r="I164" t="inlineStr">
        <is>
          <t>Q1</t>
        </is>
      </c>
      <c r="J164" t="inlineStr">
        <is>
          <t>10-Q</t>
        </is>
      </c>
      <c r="K164" t="inlineStr">
        <is>
          <t>2026-05-08</t>
        </is>
      </c>
      <c r="L164" t="inlineStr">
        <is>
          <t>0001769628-26-000222</t>
        </is>
      </c>
      <c r="M164" t="inlineStr">
        <is>
          <t>CY2026Q1I</t>
        </is>
      </c>
    </row>
    <row r="165">
      <c r="A165" t="inlineStr">
        <is>
          <t>ppe_net</t>
        </is>
      </c>
      <c r="B165" t="inlineStr">
        <is>
          <t>PropertyPlantAndEquipmentNet</t>
        </is>
      </c>
      <c r="C165" t="inlineStr">
        <is>
          <t>us-gaap</t>
        </is>
      </c>
      <c r="D165" t="inlineStr">
        <is>
          <t>USD</t>
        </is>
      </c>
      <c r="F165" t="inlineStr">
        <is>
          <t>2026-06-30</t>
        </is>
      </c>
      <c r="G165" t="n">
        <v>46736000000</v>
      </c>
      <c r="H165" t="n">
        <v>2026</v>
      </c>
      <c r="I165" t="inlineStr">
        <is>
          <t>Q2</t>
        </is>
      </c>
      <c r="J165" t="inlineStr">
        <is>
          <t>10-Q</t>
        </is>
      </c>
      <c r="K165" t="inlineStr">
        <is>
          <t>2026-08-12</t>
        </is>
      </c>
      <c r="L165" t="inlineStr">
        <is>
          <t>0001769628-26-000366</t>
        </is>
      </c>
      <c r="M165" t="inlineStr">
        <is>
          <t>CY2026Q2I</t>
        </is>
      </c>
    </row>
    <row r="166">
      <c r="A166" t="inlineStr">
        <is>
          <t>revenue</t>
        </is>
      </c>
      <c r="B166" t="inlineStr">
        <is>
          <t>RevenueFromContractWithCustomerExcludingAssessedTax</t>
        </is>
      </c>
      <c r="C166" t="inlineStr">
        <is>
          <t>us-gaap</t>
        </is>
      </c>
      <c r="D166" t="inlineStr">
        <is>
          <t>USD</t>
        </is>
      </c>
      <c r="E166" t="inlineStr">
        <is>
          <t>2023-01-01</t>
        </is>
      </c>
      <c r="F166" t="inlineStr">
        <is>
          <t>2023-12-31</t>
        </is>
      </c>
      <c r="G166" t="n">
        <v>229000000</v>
      </c>
      <c r="H166" t="n">
        <v>2025</v>
      </c>
      <c r="I166" t="inlineStr">
        <is>
          <t>FY</t>
        </is>
      </c>
      <c r="J166" t="inlineStr">
        <is>
          <t>10-K</t>
        </is>
      </c>
      <c r="K166" t="inlineStr">
        <is>
          <t>2026-03-02</t>
        </is>
      </c>
      <c r="L166" t="inlineStr">
        <is>
          <t>0001769628-26-000104</t>
        </is>
      </c>
      <c r="M166" t="inlineStr">
        <is>
          <t>CY2023</t>
        </is>
      </c>
    </row>
    <row r="167">
      <c r="A167" t="inlineStr">
        <is>
          <t>revenue</t>
        </is>
      </c>
      <c r="B167" t="inlineStr">
        <is>
          <t>RevenueFromContractWithCustomerExcludingAssessedTax</t>
        </is>
      </c>
      <c r="C167" t="inlineStr">
        <is>
          <t>us-gaap</t>
        </is>
      </c>
      <c r="D167" t="inlineStr">
        <is>
          <t>USD</t>
        </is>
      </c>
      <c r="E167" t="inlineStr">
        <is>
          <t>2024-01-01</t>
        </is>
      </c>
      <c r="F167" t="inlineStr">
        <is>
          <t>2024-03-31</t>
        </is>
      </c>
      <c r="G167" t="n">
        <v>188684000</v>
      </c>
      <c r="H167" t="n">
        <v>2025</v>
      </c>
      <c r="I167" t="inlineStr">
        <is>
          <t>Q1</t>
        </is>
      </c>
      <c r="J167" t="inlineStr">
        <is>
          <t>10-Q</t>
        </is>
      </c>
      <c r="K167" t="inlineStr">
        <is>
          <t>2025-05-15</t>
        </is>
      </c>
      <c r="L167" t="inlineStr">
        <is>
          <t>0001769628-25-000014</t>
        </is>
      </c>
      <c r="M167" t="inlineStr">
        <is>
          <t>CY2024Q1</t>
        </is>
      </c>
    </row>
    <row r="168">
      <c r="A168" t="inlineStr">
        <is>
          <t>revenue</t>
        </is>
      </c>
      <c r="B168" t="inlineStr">
        <is>
          <t>RevenueFromContractWithCustomerExcludingAssessedTax</t>
        </is>
      </c>
      <c r="C168" t="inlineStr">
        <is>
          <t>us-gaap</t>
        </is>
      </c>
      <c r="D168" t="inlineStr">
        <is>
          <t>USD</t>
        </is>
      </c>
      <c r="E168" t="inlineStr">
        <is>
          <t>2024-01-01</t>
        </is>
      </c>
      <c r="F168" t="inlineStr">
        <is>
          <t>2024-06-30</t>
        </is>
      </c>
      <c r="G168" t="n">
        <v>584055000</v>
      </c>
      <c r="H168" t="n">
        <v>2025</v>
      </c>
      <c r="I168" t="inlineStr">
        <is>
          <t>Q2</t>
        </is>
      </c>
      <c r="J168" t="inlineStr">
        <is>
          <t>10-Q</t>
        </is>
      </c>
      <c r="K168" t="inlineStr">
        <is>
          <t>2025-08-13</t>
        </is>
      </c>
      <c r="L168" t="inlineStr">
        <is>
          <t>0001769628-25-000041</t>
        </is>
      </c>
    </row>
    <row r="169">
      <c r="A169" t="inlineStr">
        <is>
          <t>revenue</t>
        </is>
      </c>
      <c r="B169" t="inlineStr">
        <is>
          <t>RevenueFromContractWithCustomerExcludingAssessedTax</t>
        </is>
      </c>
      <c r="C169" t="inlineStr">
        <is>
          <t>us-gaap</t>
        </is>
      </c>
      <c r="D169" t="inlineStr">
        <is>
          <t>USD</t>
        </is>
      </c>
      <c r="E169" t="inlineStr">
        <is>
          <t>2024-04-01</t>
        </is>
      </c>
      <c r="F169" t="inlineStr">
        <is>
          <t>2024-06-30</t>
        </is>
      </c>
      <c r="G169" t="n">
        <v>395371000</v>
      </c>
      <c r="H169" t="n">
        <v>2025</v>
      </c>
      <c r="I169" t="inlineStr">
        <is>
          <t>Q2</t>
        </is>
      </c>
      <c r="J169" t="inlineStr">
        <is>
          <t>10-Q</t>
        </is>
      </c>
      <c r="K169" t="inlineStr">
        <is>
          <t>2025-08-13</t>
        </is>
      </c>
      <c r="L169" t="inlineStr">
        <is>
          <t>0001769628-25-000041</t>
        </is>
      </c>
      <c r="M169" t="inlineStr">
        <is>
          <t>CY2024Q2</t>
        </is>
      </c>
    </row>
    <row r="170">
      <c r="A170" t="inlineStr">
        <is>
          <t>revenue</t>
        </is>
      </c>
      <c r="B170" t="inlineStr">
        <is>
          <t>RevenueFromContractWithCustomerExcludingAssessedTax</t>
        </is>
      </c>
      <c r="C170" t="inlineStr">
        <is>
          <t>us-gaap</t>
        </is>
      </c>
      <c r="D170" t="inlineStr">
        <is>
          <t>USD</t>
        </is>
      </c>
      <c r="E170" t="inlineStr">
        <is>
          <t>2024-01-01</t>
        </is>
      </c>
      <c r="F170" t="inlineStr">
        <is>
          <t>2024-09-30</t>
        </is>
      </c>
      <c r="G170" t="n">
        <v>1167996000</v>
      </c>
      <c r="H170" t="n">
        <v>2025</v>
      </c>
      <c r="I170" t="inlineStr">
        <is>
          <t>Q3</t>
        </is>
      </c>
      <c r="J170" t="inlineStr">
        <is>
          <t>10-Q</t>
        </is>
      </c>
      <c r="K170" t="inlineStr">
        <is>
          <t>2025-11-13</t>
        </is>
      </c>
      <c r="L170" t="inlineStr">
        <is>
          <t>0001769628-25-000062</t>
        </is>
      </c>
    </row>
    <row r="171">
      <c r="A171" t="inlineStr">
        <is>
          <t>revenue</t>
        </is>
      </c>
      <c r="B171" t="inlineStr">
        <is>
          <t>RevenueFromContractWithCustomerExcludingAssessedTax</t>
        </is>
      </c>
      <c r="C171" t="inlineStr">
        <is>
          <t>us-gaap</t>
        </is>
      </c>
      <c r="D171" t="inlineStr">
        <is>
          <t>USD</t>
        </is>
      </c>
      <c r="E171" t="inlineStr">
        <is>
          <t>2024-07-01</t>
        </is>
      </c>
      <c r="F171" t="inlineStr">
        <is>
          <t>2024-09-30</t>
        </is>
      </c>
      <c r="G171" t="n">
        <v>583941000</v>
      </c>
      <c r="H171" t="n">
        <v>2025</v>
      </c>
      <c r="I171" t="inlineStr">
        <is>
          <t>Q3</t>
        </is>
      </c>
      <c r="J171" t="inlineStr">
        <is>
          <t>10-Q</t>
        </is>
      </c>
      <c r="K171" t="inlineStr">
        <is>
          <t>2025-11-13</t>
        </is>
      </c>
      <c r="L171" t="inlineStr">
        <is>
          <t>0001769628-25-000062</t>
        </is>
      </c>
      <c r="M171" t="inlineStr">
        <is>
          <t>CY2024Q3</t>
        </is>
      </c>
    </row>
    <row r="172">
      <c r="A172" t="inlineStr">
        <is>
          <t>revenue</t>
        </is>
      </c>
      <c r="B172" t="inlineStr">
        <is>
          <t>RevenueFromContractWithCustomerExcludingAssessedTax</t>
        </is>
      </c>
      <c r="C172" t="inlineStr">
        <is>
          <t>us-gaap</t>
        </is>
      </c>
      <c r="D172" t="inlineStr">
        <is>
          <t>USD</t>
        </is>
      </c>
      <c r="E172" t="inlineStr">
        <is>
          <t>2024-01-01</t>
        </is>
      </c>
      <c r="F172" t="inlineStr">
        <is>
          <t>2024-12-31</t>
        </is>
      </c>
      <c r="G172" t="n">
        <v>1915000000</v>
      </c>
      <c r="H172" t="n">
        <v>2025</v>
      </c>
      <c r="I172" t="inlineStr">
        <is>
          <t>FY</t>
        </is>
      </c>
      <c r="J172" t="inlineStr">
        <is>
          <t>10-K</t>
        </is>
      </c>
      <c r="K172" t="inlineStr">
        <is>
          <t>2026-03-02</t>
        </is>
      </c>
      <c r="L172" t="inlineStr">
        <is>
          <t>0001769628-26-000104</t>
        </is>
      </c>
      <c r="M172" t="inlineStr">
        <is>
          <t>CY2024</t>
        </is>
      </c>
    </row>
    <row r="173">
      <c r="A173" t="inlineStr">
        <is>
          <t>revenue</t>
        </is>
      </c>
      <c r="B173" t="inlineStr">
        <is>
          <t>RevenueFromContractWithCustomerExcludingAssessedTax</t>
        </is>
      </c>
      <c r="C173" t="inlineStr">
        <is>
          <t>us-gaap</t>
        </is>
      </c>
      <c r="D173" t="inlineStr">
        <is>
          <t>USD</t>
        </is>
      </c>
      <c r="E173" t="inlineStr">
        <is>
          <t>2025-01-01</t>
        </is>
      </c>
      <c r="F173" t="inlineStr">
        <is>
          <t>2025-03-31</t>
        </is>
      </c>
      <c r="G173" t="n">
        <v>981632000</v>
      </c>
      <c r="H173" t="n">
        <v>2025</v>
      </c>
      <c r="I173" t="inlineStr">
        <is>
          <t>Q1</t>
        </is>
      </c>
      <c r="J173" t="inlineStr">
        <is>
          <t>10-Q</t>
        </is>
      </c>
      <c r="K173" t="inlineStr">
        <is>
          <t>2025-05-15</t>
        </is>
      </c>
      <c r="L173" t="inlineStr">
        <is>
          <t>0001769628-25-000014</t>
        </is>
      </c>
    </row>
    <row r="174">
      <c r="A174" t="inlineStr">
        <is>
          <t>revenue</t>
        </is>
      </c>
      <c r="B174" t="inlineStr">
        <is>
          <t>RevenueFromContractWithCustomerExcludingAssessedTax</t>
        </is>
      </c>
      <c r="C174" t="inlineStr">
        <is>
          <t>us-gaap</t>
        </is>
      </c>
      <c r="D174" t="inlineStr">
        <is>
          <t>USD</t>
        </is>
      </c>
      <c r="E174" t="inlineStr">
        <is>
          <t>2025-01-01</t>
        </is>
      </c>
      <c r="F174" t="inlineStr">
        <is>
          <t>2025-03-31</t>
        </is>
      </c>
      <c r="G174" t="n">
        <v>982000000</v>
      </c>
      <c r="H174" t="n">
        <v>2026</v>
      </c>
      <c r="I174" t="inlineStr">
        <is>
          <t>Q1</t>
        </is>
      </c>
      <c r="J174" t="inlineStr">
        <is>
          <t>10-Q</t>
        </is>
      </c>
      <c r="K174" t="inlineStr">
        <is>
          <t>2026-05-08</t>
        </is>
      </c>
      <c r="L174" t="inlineStr">
        <is>
          <t>0001769628-26-000222</t>
        </is>
      </c>
      <c r="M174" t="inlineStr">
        <is>
          <t>CY2025Q1</t>
        </is>
      </c>
    </row>
    <row r="175">
      <c r="A175" t="inlineStr">
        <is>
          <t>revenue</t>
        </is>
      </c>
      <c r="B175" t="inlineStr">
        <is>
          <t>RevenueFromContractWithCustomerExcludingAssessedTax</t>
        </is>
      </c>
      <c r="C175" t="inlineStr">
        <is>
          <t>us-gaap</t>
        </is>
      </c>
      <c r="D175" t="inlineStr">
        <is>
          <t>USD</t>
        </is>
      </c>
      <c r="E175" t="inlineStr">
        <is>
          <t>2025-01-01</t>
        </is>
      </c>
      <c r="F175" t="inlineStr">
        <is>
          <t>2025-06-30</t>
        </is>
      </c>
      <c r="G175" t="n">
        <v>2194420000</v>
      </c>
      <c r="H175" t="n">
        <v>2025</v>
      </c>
      <c r="I175" t="inlineStr">
        <is>
          <t>Q2</t>
        </is>
      </c>
      <c r="J175" t="inlineStr">
        <is>
          <t>10-Q</t>
        </is>
      </c>
      <c r="K175" t="inlineStr">
        <is>
          <t>2025-08-13</t>
        </is>
      </c>
      <c r="L175" t="inlineStr">
        <is>
          <t>0001769628-25-000041</t>
        </is>
      </c>
    </row>
    <row r="176">
      <c r="A176" t="inlineStr">
        <is>
          <t>revenue</t>
        </is>
      </c>
      <c r="B176" t="inlineStr">
        <is>
          <t>RevenueFromContractWithCustomerExcludingAssessedTax</t>
        </is>
      </c>
      <c r="C176" t="inlineStr">
        <is>
          <t>us-gaap</t>
        </is>
      </c>
      <c r="D176" t="inlineStr">
        <is>
          <t>USD</t>
        </is>
      </c>
      <c r="E176" t="inlineStr">
        <is>
          <t>2025-04-01</t>
        </is>
      </c>
      <c r="F176" t="inlineStr">
        <is>
          <t>2025-06-30</t>
        </is>
      </c>
      <c r="G176" t="n">
        <v>1212788000</v>
      </c>
      <c r="H176" t="n">
        <v>2025</v>
      </c>
      <c r="I176" t="inlineStr">
        <is>
          <t>Q2</t>
        </is>
      </c>
      <c r="J176" t="inlineStr">
        <is>
          <t>10-Q</t>
        </is>
      </c>
      <c r="K176" t="inlineStr">
        <is>
          <t>2025-08-13</t>
        </is>
      </c>
      <c r="L176" t="inlineStr">
        <is>
          <t>0001769628-25-000041</t>
        </is>
      </c>
    </row>
    <row r="177">
      <c r="A177" t="inlineStr">
        <is>
          <t>revenue</t>
        </is>
      </c>
      <c r="B177" t="inlineStr">
        <is>
          <t>RevenueFromContractWithCustomerExcludingAssessedTax</t>
        </is>
      </c>
      <c r="C177" t="inlineStr">
        <is>
          <t>us-gaap</t>
        </is>
      </c>
      <c r="D177" t="inlineStr">
        <is>
          <t>USD</t>
        </is>
      </c>
      <c r="E177" t="inlineStr">
        <is>
          <t>2025-01-01</t>
        </is>
      </c>
      <c r="F177" t="inlineStr">
        <is>
          <t>2025-06-30</t>
        </is>
      </c>
      <c r="G177" t="n">
        <v>2194000000</v>
      </c>
      <c r="H177" t="n">
        <v>2026</v>
      </c>
      <c r="I177" t="inlineStr">
        <is>
          <t>Q2</t>
        </is>
      </c>
      <c r="J177" t="inlineStr">
        <is>
          <t>10-Q</t>
        </is>
      </c>
      <c r="K177" t="inlineStr">
        <is>
          <t>2026-08-12</t>
        </is>
      </c>
      <c r="L177" t="inlineStr">
        <is>
          <t>0001769628-26-000366</t>
        </is>
      </c>
    </row>
    <row r="178">
      <c r="A178" t="inlineStr">
        <is>
          <t>revenue</t>
        </is>
      </c>
      <c r="B178" t="inlineStr">
        <is>
          <t>RevenueFromContractWithCustomerExcludingAssessedTax</t>
        </is>
      </c>
      <c r="C178" t="inlineStr">
        <is>
          <t>us-gaap</t>
        </is>
      </c>
      <c r="D178" t="inlineStr">
        <is>
          <t>USD</t>
        </is>
      </c>
      <c r="E178" t="inlineStr">
        <is>
          <t>2025-04-01</t>
        </is>
      </c>
      <c r="F178" t="inlineStr">
        <is>
          <t>2025-06-30</t>
        </is>
      </c>
      <c r="G178" t="n">
        <v>1212000000</v>
      </c>
      <c r="H178" t="n">
        <v>2026</v>
      </c>
      <c r="I178" t="inlineStr">
        <is>
          <t>Q2</t>
        </is>
      </c>
      <c r="J178" t="inlineStr">
        <is>
          <t>10-Q</t>
        </is>
      </c>
      <c r="K178" t="inlineStr">
        <is>
          <t>2026-08-12</t>
        </is>
      </c>
      <c r="L178" t="inlineStr">
        <is>
          <t>0001769628-26-000366</t>
        </is>
      </c>
      <c r="M178" t="inlineStr">
        <is>
          <t>CY2025Q2</t>
        </is>
      </c>
    </row>
    <row r="179">
      <c r="A179" t="inlineStr">
        <is>
          <t>revenue</t>
        </is>
      </c>
      <c r="B179" t="inlineStr">
        <is>
          <t>RevenueFromContractWithCustomerExcludingAssessedTax</t>
        </is>
      </c>
      <c r="C179" t="inlineStr">
        <is>
          <t>us-gaap</t>
        </is>
      </c>
      <c r="D179" t="inlineStr">
        <is>
          <t>USD</t>
        </is>
      </c>
      <c r="E179" t="inlineStr">
        <is>
          <t>2025-01-01</t>
        </is>
      </c>
      <c r="F179" t="inlineStr">
        <is>
          <t>2025-09-30</t>
        </is>
      </c>
      <c r="G179" t="n">
        <v>3559096000</v>
      </c>
      <c r="H179" t="n">
        <v>2025</v>
      </c>
      <c r="I179" t="inlineStr">
        <is>
          <t>Q3</t>
        </is>
      </c>
      <c r="J179" t="inlineStr">
        <is>
          <t>10-Q</t>
        </is>
      </c>
      <c r="K179" t="inlineStr">
        <is>
          <t>2025-11-13</t>
        </is>
      </c>
      <c r="L179" t="inlineStr">
        <is>
          <t>0001769628-25-000062</t>
        </is>
      </c>
    </row>
    <row r="180">
      <c r="A180" t="inlineStr">
        <is>
          <t>revenue</t>
        </is>
      </c>
      <c r="B180" t="inlineStr">
        <is>
          <t>RevenueFromContractWithCustomerExcludingAssessedTax</t>
        </is>
      </c>
      <c r="C180" t="inlineStr">
        <is>
          <t>us-gaap</t>
        </is>
      </c>
      <c r="D180" t="inlineStr">
        <is>
          <t>USD</t>
        </is>
      </c>
      <c r="E180" t="inlineStr">
        <is>
          <t>2025-07-01</t>
        </is>
      </c>
      <c r="F180" t="inlineStr">
        <is>
          <t>2025-09-30</t>
        </is>
      </c>
      <c r="G180" t="n">
        <v>1364676000</v>
      </c>
      <c r="H180" t="n">
        <v>2025</v>
      </c>
      <c r="I180" t="inlineStr">
        <is>
          <t>Q3</t>
        </is>
      </c>
      <c r="J180" t="inlineStr">
        <is>
          <t>10-Q</t>
        </is>
      </c>
      <c r="K180" t="inlineStr">
        <is>
          <t>2025-11-13</t>
        </is>
      </c>
      <c r="L180" t="inlineStr">
        <is>
          <t>0001769628-25-000062</t>
        </is>
      </c>
      <c r="M180" t="inlineStr">
        <is>
          <t>CY2025Q3</t>
        </is>
      </c>
    </row>
    <row r="181">
      <c r="A181" t="inlineStr">
        <is>
          <t>revenue</t>
        </is>
      </c>
      <c r="B181" t="inlineStr">
        <is>
          <t>RevenueFromContractWithCustomerExcludingAssessedTax</t>
        </is>
      </c>
      <c r="C181" t="inlineStr">
        <is>
          <t>us-gaap</t>
        </is>
      </c>
      <c r="D181" t="inlineStr">
        <is>
          <t>USD</t>
        </is>
      </c>
      <c r="E181" t="inlineStr">
        <is>
          <t>2025-01-01</t>
        </is>
      </c>
      <c r="F181" t="inlineStr">
        <is>
          <t>2025-12-31</t>
        </is>
      </c>
      <c r="G181" t="n">
        <v>5131000000</v>
      </c>
      <c r="H181" t="n">
        <v>2025</v>
      </c>
      <c r="I181" t="inlineStr">
        <is>
          <t>FY</t>
        </is>
      </c>
      <c r="J181" t="inlineStr">
        <is>
          <t>10-K</t>
        </is>
      </c>
      <c r="K181" t="inlineStr">
        <is>
          <t>2026-03-02</t>
        </is>
      </c>
      <c r="L181" t="inlineStr">
        <is>
          <t>0001769628-26-000104</t>
        </is>
      </c>
      <c r="M181" t="inlineStr">
        <is>
          <t>CY2025</t>
        </is>
      </c>
    </row>
    <row r="182">
      <c r="A182" t="inlineStr">
        <is>
          <t>revenue</t>
        </is>
      </c>
      <c r="B182" t="inlineStr">
        <is>
          <t>RevenueFromContractWithCustomerExcludingAssessedTax</t>
        </is>
      </c>
      <c r="C182" t="inlineStr">
        <is>
          <t>us-gaap</t>
        </is>
      </c>
      <c r="D182" t="inlineStr">
        <is>
          <t>USD</t>
        </is>
      </c>
      <c r="E182" t="inlineStr">
        <is>
          <t>2026-01-01</t>
        </is>
      </c>
      <c r="F182" t="inlineStr">
        <is>
          <t>2026-03-31</t>
        </is>
      </c>
      <c r="G182" t="n">
        <v>2078000000</v>
      </c>
      <c r="H182" t="n">
        <v>2026</v>
      </c>
      <c r="I182" t="inlineStr">
        <is>
          <t>Q1</t>
        </is>
      </c>
      <c r="J182" t="inlineStr">
        <is>
          <t>10-Q</t>
        </is>
      </c>
      <c r="K182" t="inlineStr">
        <is>
          <t>2026-05-08</t>
        </is>
      </c>
      <c r="L182" t="inlineStr">
        <is>
          <t>0001769628-26-000222</t>
        </is>
      </c>
      <c r="M182" t="inlineStr">
        <is>
          <t>CY2026Q1</t>
        </is>
      </c>
    </row>
    <row r="183">
      <c r="A183" t="inlineStr">
        <is>
          <t>revenue</t>
        </is>
      </c>
      <c r="B183" t="inlineStr">
        <is>
          <t>RevenueFromContractWithCustomerExcludingAssessedTax</t>
        </is>
      </c>
      <c r="C183" t="inlineStr">
        <is>
          <t>us-gaap</t>
        </is>
      </c>
      <c r="D183" t="inlineStr">
        <is>
          <t>USD</t>
        </is>
      </c>
      <c r="E183" t="inlineStr">
        <is>
          <t>2026-01-01</t>
        </is>
      </c>
      <c r="F183" t="inlineStr">
        <is>
          <t>2026-06-30</t>
        </is>
      </c>
      <c r="G183" t="n">
        <v>4653000000</v>
      </c>
      <c r="H183" t="n">
        <v>2026</v>
      </c>
      <c r="I183" t="inlineStr">
        <is>
          <t>Q2</t>
        </is>
      </c>
      <c r="J183" t="inlineStr">
        <is>
          <t>10-Q</t>
        </is>
      </c>
      <c r="K183" t="inlineStr">
        <is>
          <t>2026-08-12</t>
        </is>
      </c>
      <c r="L183" t="inlineStr">
        <is>
          <t>0001769628-26-000366</t>
        </is>
      </c>
    </row>
    <row r="184">
      <c r="A184" t="inlineStr">
        <is>
          <t>revenue</t>
        </is>
      </c>
      <c r="B184" t="inlineStr">
        <is>
          <t>RevenueFromContractWithCustomerExcludingAssessedTax</t>
        </is>
      </c>
      <c r="C184" t="inlineStr">
        <is>
          <t>us-gaap</t>
        </is>
      </c>
      <c r="D184" t="inlineStr">
        <is>
          <t>USD</t>
        </is>
      </c>
      <c r="E184" t="inlineStr">
        <is>
          <t>2026-04-01</t>
        </is>
      </c>
      <c r="F184" t="inlineStr">
        <is>
          <t>2026-06-30</t>
        </is>
      </c>
      <c r="G184" t="n">
        <v>2575000000</v>
      </c>
      <c r="H184" t="n">
        <v>2026</v>
      </c>
      <c r="I184" t="inlineStr">
        <is>
          <t>Q2</t>
        </is>
      </c>
      <c r="J184" t="inlineStr">
        <is>
          <t>10-Q</t>
        </is>
      </c>
      <c r="K184" t="inlineStr">
        <is>
          <t>2026-08-12</t>
        </is>
      </c>
      <c r="L184" t="inlineStr">
        <is>
          <t>0001769628-26-000366</t>
        </is>
      </c>
      <c r="M184" t="inlineStr">
        <is>
          <t>CY2026Q2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ai-economics</dc:creator>
  <dc:title>CoreWeave, Inc. (CRWV) operating model</dc:title>
  <dcterms:created xsi:type="dcterms:W3CDTF">2000-01-01T00:00:00Z</dcterms:created>
  <dcterms:modified xsi:type="dcterms:W3CDTF">2000-01-01T00:00:00Z</dcterms:modified>
</cp:coreProperties>
</file>