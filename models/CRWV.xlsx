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Drivers" sheetId="3" state="visible" r:id="rId3"/>
    <sheet name="Outputs" sheetId="4" state="visible" r:id="rId4"/>
    <sheet name="Disclosed" sheetId="5" state="visible" r:id="rId5"/>
    <sheet name="Reported" sheetId="6" state="visible" r:id="rId6"/>
    <sheet name="Sensitivities" sheetId="7" state="visible" r:id="rId7"/>
  </sheets>
  <definedNames>
    <definedName name="in_chip_cost">Inputs!$B$2</definedName>
    <definedName name="in_power_draw_kw">Inputs!$B$3</definedName>
    <definedName name="in_pue">Inputs!$B$4</definedName>
    <definedName name="in_electricity_price_kwh">Inputs!$B$5</definedName>
    <definedName name="in_utilization">Inputs!$B$6</definedName>
    <definedName name="in_tokens_per_sec">Inputs!$B$7</definedName>
    <definedName name="in_price_per_m_tokens">Inputs!$B$8</definedName>
    <definedName name="in_depreciation_years">Inputs!$B$9</definedName>
    <definedName name="in_financing_rate">Inputs!$B$10</definedName>
    <definedName name="in_price_per_gpu_hour">Inputs!$B$11</definedName>
    <definedName name="in_facility_cost_per_kw_month">Inputs!$B$12</definedName>
    <definedName name="in_other_opex_per_gpu_hour">Inputs!$B$13</definedName>
    <definedName name="in_idle_power_share">Inputs!$B$14</definedName>
    <definedName name="in_residual_value_share">Inputs!$B$15</definedName>
    <definedName name="in_disclosed_cash_payback_years">Inputs!$B$16</definedName>
    <definedName name="in_prepayment_share_of_tcv">Inputs!$B$17</definedName>
    <definedName name="in_contract_years">Inputs!$B$18</definedName>
    <definedName name="in_prepaid_revenue_recognised_share_per_quarter">Inputs!$B$19</definedName>
    <definedName name="in_mw_added_per_quarter">Inputs!$B$20</definedName>
    <definedName name="in_mw_contracted_per_quarter">Inputs!$B$21</definedName>
    <definedName name="in_revenue_per_mw_year_usd_m">Inputs!$B$22</definedName>
    <definedName name="in_adjusted_ebitda_margin">Inputs!$B$23</definedName>
    <definedName name="in_capex_per_mw_usd_m">Inputs!$B$24</definedName>
    <definedName name="in_debt_share_of_capex">Inputs!$B$25</definedName>
    <definedName name="in_cost_of_debt">Inputs!$B$26</definedName>
    <definedName name="in_receivables_share_of_quarterly_revenue">Inputs!$B$27</definedName>
    <definedName name="in_other_operating_cash_share_of_revenue">Inputs!$B$28</definedName>
    <definedName name="in_minimum_cash_usd_bn">Inputs!$B$29</definedName>
  </definedNames>
  <calcPr calcId="124519" fullCalcOnLoad="1"/>
</workbook>
</file>

<file path=xl/styles.xml><?xml version="1.0" encoding="utf-8"?>
<styleSheet xmlns="http://schemas.openxmlformats.org/spreadsheetml/2006/main">
  <numFmts count="3">
    <numFmt numFmtId="164" formatCode="0.0%"/>
    <numFmt numFmtId="165" formatCode="#,##0.00##"/>
    <numFmt numFmtId="166" formatCode="#,##0.0;(#,##0.0);&quot;-&quot;"/>
  </numFmts>
  <fonts count="9">
    <font>
      <name val="Calibri"/>
      <family val="2"/>
      <color theme="1"/>
      <sz val="11"/>
      <scheme val="minor"/>
    </font>
    <font>
      <b val="1"/>
    </font>
    <font>
      <color rgb="000000FF"/>
    </font>
    <font>
      <color rgb="00595959"/>
    </font>
    <font>
      <color rgb="00008000"/>
    </font>
    <font>
      <color rgb="00000000"/>
    </font>
    <font>
      <b val="1"/>
      <sz val="14"/>
    </font>
    <font>
      <i val="1"/>
    </font>
    <font>
      <i val="1"/>
      <color rgb="00666666"/>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7"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5" fillId="0" borderId="0" pivotButton="0" quotePrefix="0" xfId="0"/>
    <xf numFmtId="0" fontId="4" fillId="0" borderId="0" pivotButton="0" quotePrefix="0" xfId="0"/>
    <xf numFmtId="0" fontId="3" fillId="0" borderId="0" pivotButton="0" quotePrefix="0" xfId="0"/>
    <xf numFmtId="0" fontId="8" fillId="0" borderId="0" pivotButton="0" quotePrefix="0" xfId="0"/>
    <xf numFmtId="0" fontId="1" fillId="2" borderId="0" pivotButton="0" quotePrefix="0" xfId="0"/>
    <xf numFmtId="3" fontId="2" fillId="0" borderId="0" pivotButton="0" quotePrefix="0" xfId="0"/>
    <xf numFmtId="164" fontId="2" fillId="0" borderId="0" pivotButton="0" quotePrefix="0" xfId="0"/>
    <xf numFmtId="0" fontId="1" fillId="2" borderId="0" applyAlignment="1" pivotButton="0" quotePrefix="0" xfId="0">
      <alignment horizontal="right"/>
    </xf>
    <xf numFmtId="165" fontId="3" fillId="0" borderId="0" pivotButton="0" quotePrefix="0" xfId="0"/>
    <xf numFmtId="165" fontId="4" fillId="0" borderId="0" pivotButton="0" quotePrefix="0" xfId="0"/>
    <xf numFmtId="165" fontId="5" fillId="0" borderId="0" pivotButton="0" quotePrefix="0" xfId="0"/>
    <xf numFmtId="166" fontId="3" fillId="0" borderId="0" pivotButton="0" quotePrefix="0" xfId="0"/>
    <xf numFmtId="166" fontId="4" fillId="0" borderId="0" pivotButton="0" quotePrefix="0" xfId="0"/>
    <xf numFmtId="166" fontId="5" fillId="0" borderId="0" pivotButton="0" quotePrefix="0" xfId="0"/>
    <xf numFmtId="16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6" customWidth="1" min="1" max="1"/>
    <col width="100" customWidth="1" min="2" max="2"/>
  </cols>
  <sheetData>
    <row r="1">
      <c r="A1" s="1" t="inlineStr">
        <is>
          <t>CoreWeave, Inc. (CRWV) operating model</t>
        </is>
      </c>
    </row>
    <row r="2">
      <c r="A2" s="2" t="inlineStr">
        <is>
          <t>Reported figures come from SEC EDGAR XBRL company facts; every assumption is on the Inputs sheet.</t>
        </is>
      </c>
    </row>
    <row r="4">
      <c r="A4" s="3" t="inlineStr">
        <is>
          <t>as_of</t>
        </is>
      </c>
      <c r="B4" t="inlineStr">
        <is>
          <t>2026-08-12</t>
        </is>
      </c>
    </row>
    <row r="5">
      <c r="A5" s="3" t="inlineStr">
        <is>
          <t>cik</t>
        </is>
      </c>
      <c r="B5" t="inlineStr">
        <is>
          <t>0001769628</t>
        </is>
      </c>
    </row>
    <row r="6">
      <c r="A6" s="3" t="inlineStr">
        <is>
          <t>layer</t>
        </is>
      </c>
      <c r="B6" t="inlineStr">
        <is>
          <t>neocloud</t>
        </is>
      </c>
    </row>
    <row r="8">
      <c r="A8" s="3" t="inlineStr">
        <is>
          <t>How to read this workbook</t>
        </is>
      </c>
    </row>
    <row r="9" ht="75" customHeight="1">
      <c r="A9" s="4" t="inlineStr">
        <is>
          <t>This workbook is a snapshot of a Python model. The Inputs sheet holds every assumption the model takes as given (blue numbers): change one there and the formulas on the other sheets follow when Excel recalculates. Drivers are the operating quantities that build up by period; Outputs are what the model concludes from them. Each line shows its unit in column B; period columns ending in A are reported actuals, E are estimates. Click any formula cell to trace it back to the driver or input it depends on.</t>
        </is>
      </c>
    </row>
    <row r="11">
      <c r="A11" s="3" t="inlineStr">
        <is>
          <t>Colour legend</t>
        </is>
      </c>
    </row>
    <row r="12">
      <c r="A12" s="5" t="inlineStr">
        <is>
          <t>1,234.5</t>
        </is>
      </c>
      <c r="B12" t="inlineStr">
        <is>
          <t>Blue: a hard-coded input or assumption. Edit these on the Inputs sheet.</t>
        </is>
      </c>
    </row>
    <row r="13">
      <c r="A13" s="6" t="inlineStr">
        <is>
          <t>=C5*C6</t>
        </is>
      </c>
      <c r="B13" t="inlineStr">
        <is>
          <t>Black: a formula calculated from cells on the same sheet.</t>
        </is>
      </c>
    </row>
    <row r="14">
      <c r="A14" s="7" t="inlineStr">
        <is>
          <t>=Drivers!C5</t>
        </is>
      </c>
      <c r="B14" t="inlineStr">
        <is>
          <t>Green: a formula that links to another sheet (Inputs, Drivers or Outputs).</t>
        </is>
      </c>
    </row>
    <row r="15">
      <c r="A15" s="8" t="inlineStr">
        <is>
          <t>1,234.5</t>
        </is>
      </c>
      <c r="B15" t="inlineStr">
        <is>
          <t>Grey: a value computed in Python and pasted (see the company module under companies/). It does not recalculate in Excel.</t>
        </is>
      </c>
    </row>
    <row r="17">
      <c r="A17" s="3" t="inlineStr">
        <is>
          <t>Sheets</t>
        </is>
      </c>
    </row>
    <row r="18">
      <c r="A18" s="3" t="inlineStr">
        <is>
          <t>Inputs</t>
        </is>
      </c>
      <c r="B18" t="inlineStr">
        <is>
          <t>One row per assumption: name, value, unit, source and note. Each value cell has the defined name in_&lt;name&gt; so formulas can refer to it by name.</t>
        </is>
      </c>
    </row>
    <row r="19">
      <c r="A19" s="3" t="inlineStr">
        <is>
          <t>Drivers</t>
        </is>
      </c>
      <c r="B19" t="inlineStr">
        <is>
          <t>Operating drivers by period (label, unit, then one column per period).</t>
        </is>
      </c>
    </row>
    <row r="20">
      <c r="A20" s="3" t="inlineStr">
        <is>
          <t>Outputs</t>
        </is>
      </c>
      <c r="B20" t="inlineStr">
        <is>
          <t>Model outputs by period, built from Drivers and Inputs.</t>
        </is>
      </c>
    </row>
    <row r="21">
      <c r="A21" s="3" t="inlineStr">
        <is>
          <t>Disclosed</t>
        </is>
      </c>
      <c r="B21" t="inlineStr">
        <is>
          <t>Plain values exported from the model's 'disclosed' table.</t>
        </is>
      </c>
    </row>
    <row r="22">
      <c r="A22" s="3" t="inlineStr">
        <is>
          <t>Reported</t>
        </is>
      </c>
      <c r="B22" t="inlineStr">
        <is>
          <t>Reported facts pulled from SEC XBRL company facts, one row per fact.</t>
        </is>
      </c>
    </row>
    <row r="23">
      <c r="A23" s="3" t="inlineStr">
        <is>
          <t>Sensitivities</t>
        </is>
      </c>
      <c r="B23" t="inlineStr">
        <is>
          <t>Plain values exported from the model's 'sensitivities' table.</t>
        </is>
      </c>
    </row>
    <row r="25">
      <c r="A25" s="9" t="inlineStr">
        <is>
          <t>Generated by ai-economics (https://github.com/Philbertcychan/ai-economics) via scripts/export_xlsx.py. Formulas recalculate when the file is opened in Excel.</t>
        </is>
      </c>
    </row>
  </sheetData>
  <mergeCells count="1">
    <mergeCell ref="A9:B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28" customWidth="1" min="1" max="1"/>
    <col width="14" customWidth="1" min="2" max="2"/>
    <col width="12" customWidth="1" min="3" max="3"/>
    <col width="40" customWidth="1" min="4" max="4"/>
    <col width="60" customWidth="1" min="5" max="5"/>
  </cols>
  <sheetData>
    <row r="1">
      <c r="A1" s="10" t="inlineStr">
        <is>
          <t>Name</t>
        </is>
      </c>
      <c r="B1" s="10" t="inlineStr">
        <is>
          <t>Value</t>
        </is>
      </c>
      <c r="C1" s="10" t="inlineStr">
        <is>
          <t>Unit</t>
        </is>
      </c>
      <c r="D1" s="10" t="inlineStr">
        <is>
          <t>Source</t>
        </is>
      </c>
      <c r="E1" s="10" t="inlineStr">
        <is>
          <t>Note</t>
        </is>
      </c>
    </row>
    <row r="2">
      <c r="A2" t="inlineStr">
        <is>
          <t>chip_cost</t>
        </is>
      </c>
      <c r="B2" s="11" t="n">
        <v>36586</v>
      </c>
      <c r="C2" t="inlineStr">
        <is>
          <t>USD</t>
        </is>
      </c>
      <c r="D2" t="inlineStr">
        <is>
          <t>S-1 p.F-29, p.2</t>
        </is>
      </c>
      <c r="E2" t="inlineStr">
        <is>
          <t>[derived; proposed] Technology equipment, gross 9,146,575 thousand divided by more than 250,000 GPUs at Dec 31, 2024. A fleet average that includes servers and networking and excludes construction in progress. Compare with the model's capex per MW added (Outputs sheet), which is the same idea measured from cash flows.</t>
        </is>
      </c>
    </row>
    <row r="3">
      <c r="A3" t="inlineStr">
        <is>
          <t>power_draw_kw</t>
        </is>
      </c>
      <c r="B3" s="5" t="n">
        <v>1.44</v>
      </c>
      <c r="C3" t="inlineStr">
        <is>
          <t>kW</t>
        </is>
      </c>
      <c r="D3" t="inlineStr">
        <is>
          <t>S-1 p.2</t>
        </is>
      </c>
      <c r="E3" t="inlineStr">
        <is>
          <t>[derived; proposed] More than 360 MW of active power divided by more than 250,000 GPUs at Dec 31, 2024. Facility-level power per GPU, so cooling and non-GPU load are already inside it. This is the ONE assumption that converts disclosed MW into GPU counts; every per-GPU line scales with it, the per-MW lines do not use it.</t>
        </is>
      </c>
    </row>
    <row r="4">
      <c r="A4" t="inlineStr">
        <is>
          <t>pue</t>
        </is>
      </c>
      <c r="B4" s="5" t="n">
        <v>1</v>
      </c>
      <c r="C4" t="inlineStr">
        <is>
          <t>ratio</t>
        </is>
      </c>
      <c r="D4" t="inlineStr"/>
      <c r="E4" t="inlineStr">
        <is>
          <t>[judgment; proposed] Not used by the CoreWeave model: the per-GPU lines pin PUE at 1.0 in companies/coreweave.py because power_draw_kw is measured at the facility meter, so cooling is already inside it. Kept so the engine's inputs are complete.</t>
        </is>
      </c>
    </row>
    <row r="5">
      <c r="A5" t="inlineStr">
        <is>
          <t>electricity_price_kwh</t>
        </is>
      </c>
      <c r="B5" s="5" t="n">
        <v>0</v>
      </c>
      <c r="C5" t="inlineStr">
        <is>
          <t>USD/kWh</t>
        </is>
      </c>
      <c r="D5" t="inlineStr"/>
      <c r="E5" t="inlineStr">
        <is>
          <t>[judgment; proposed] Not used by the CoreWeave model: pinned at 0 in companies/coreweave.py because each quarter's cash cost per GPU-hour is measured from revenue less adjusted EBITDA, which already contains energy. Kept so the engine's inputs are complete.</t>
        </is>
      </c>
    </row>
    <row r="6">
      <c r="A6" t="inlineStr">
        <is>
          <t>utilization</t>
        </is>
      </c>
      <c r="B6" s="12" t="n">
        <v>1</v>
      </c>
      <c r="C6" t="inlineStr">
        <is>
          <t>share</t>
        </is>
      </c>
      <c r="D6" t="inlineStr"/>
      <c r="E6" t="inlineStr">
        <is>
          <t>[judgment; proposed] Not used by the CoreWeave model: pinned at 1.0 in companies/coreweave.py because revenue is measured per INSTALLED GPU-hour (quarterly revenue over average installed capacity), so idle and not-yet-billing GPUs are already inside that figure.</t>
        </is>
      </c>
    </row>
    <row r="7">
      <c r="A7" t="inlineStr">
        <is>
          <t>tokens_per_sec</t>
        </is>
      </c>
      <c r="B7" s="5" t="n">
        <v>0</v>
      </c>
      <c r="C7" t="inlineStr">
        <is>
          <t>tokens/s</t>
        </is>
      </c>
      <c r="D7" t="inlineStr"/>
      <c r="E7" t="inlineStr">
        <is>
          <t>[judgment; proposed] Not applicable. CoreWeave sells GPU-hours and not tokens (S-1 p.95).</t>
        </is>
      </c>
    </row>
    <row r="8">
      <c r="A8" t="inlineStr">
        <is>
          <t>price_per_m_tokens</t>
        </is>
      </c>
      <c r="B8" s="5" t="n">
        <v>0</v>
      </c>
      <c r="C8" t="inlineStr">
        <is>
          <t>USD/M tokens</t>
        </is>
      </c>
      <c r="D8" t="inlineStr"/>
      <c r="E8" t="inlineStr">
        <is>
          <t>[judgment; proposed] Not applicable. See tokens_per_sec.</t>
        </is>
      </c>
    </row>
    <row r="9">
      <c r="A9" t="inlineStr">
        <is>
          <t>depreciation_years</t>
        </is>
      </c>
      <c r="B9" s="5" t="n">
        <v>6</v>
      </c>
      <c r="C9" t="inlineStr">
        <is>
          <t>years</t>
        </is>
      </c>
      <c r="D9" t="inlineStr">
        <is>
          <t>S-1 p.F-16, p.F-15</t>
        </is>
      </c>
      <c r="E9" t="inlineStr">
        <is>
          <t>[disclosed; proposed; range 4 to 6] Accounting life of technology equipment. It was raised from five to six years on Jan 1, 2023. The economic life may be shorter if new GPU generations push rental prices down (risk factors p.33, p.44), which is why the low end is 4.</t>
        </is>
      </c>
    </row>
    <row r="10">
      <c r="A10" t="inlineStr">
        <is>
          <t>financing_rate</t>
        </is>
      </c>
      <c r="B10" s="12" t="n">
        <v>0.11</v>
      </c>
      <c r="C10" t="inlineStr">
        <is>
          <t>decimal</t>
        </is>
      </c>
      <c r="D10" t="inlineStr">
        <is>
          <t>S-1 p.F-34, p.F-41, p.F-39</t>
        </is>
      </c>
      <c r="E10" t="inlineStr">
        <is>
          <t>[disclosed; proposed; range 0.105 to 0.15] Cost of money applied to the GPUs already bought, for the per-GPU capital charge: the effective rate on DDTL 2.0, the facility that funded the 2024-25 fleet (S-1). Low is the actual average rate charged on DDTL 2.0 (10.53%); high is the effective rate on the older DDTL 1.0 (15%). Debt only; equity would want more. The forecast's interest line uses cost_of_debt instead, the rate on the marginal dollar, because the two questions differ: what did the installed fleet cost to finance, and what will the next GPU cost to finance.</t>
        </is>
      </c>
    </row>
    <row r="11">
      <c r="A11" t="inlineStr">
        <is>
          <t>price_per_gpu_hour</t>
        </is>
      </c>
      <c r="B11" s="5" t="n">
        <v>0</v>
      </c>
      <c r="C11" t="inlineStr">
        <is>
          <t>USD/GPU-hour</t>
        </is>
      </c>
      <c r="D11" t="inlineStr"/>
      <c r="E11" t="inlineStr">
        <is>
          <t>[judgment; proposed] Not used: the model computes revenue per installed GPU-hour for each quarter from reported revenue and disclosed capacity (see the Outputs sheet). Kept at 0 so the engine's rental mode has a defined input.</t>
        </is>
      </c>
    </row>
    <row r="12">
      <c r="A12" t="inlineStr">
        <is>
          <t>facility_cost_per_kw_month</t>
        </is>
      </c>
      <c r="B12" s="5" t="n">
        <v>0</v>
      </c>
      <c r="C12" t="inlineStr">
        <is>
          <t>USD/kW-month</t>
        </is>
      </c>
      <c r="D12" t="inlineStr"/>
      <c r="E12" t="inlineStr">
        <is>
          <t>[judgment; proposed] Not used by the CoreWeave model: pinned at 0 in companies/coreweave.py because data-centre leases are inside the cash cost measured from revenue less adjusted EBITDA.</t>
        </is>
      </c>
    </row>
    <row r="13">
      <c r="A13" t="inlineStr">
        <is>
          <t>other_opex_per_gpu_hour</t>
        </is>
      </c>
      <c r="B13" s="5" t="n">
        <v>0</v>
      </c>
      <c r="C13" t="inlineStr">
        <is>
          <t>USD/GPU-hour</t>
        </is>
      </c>
      <c r="D13" t="inlineStr"/>
      <c r="E13" t="inlineStr">
        <is>
          <t>[judgment; proposed] Not used: each quarter's cash cost per GPU-hour is revenue less adjusted EBITDA over installed GPU-hours, computed by the model. Kept at 0.</t>
        </is>
      </c>
    </row>
    <row r="14">
      <c r="A14" t="inlineStr">
        <is>
          <t>idle_power_share</t>
        </is>
      </c>
      <c r="B14" s="12" t="n">
        <v>1</v>
      </c>
      <c r="C14" t="inlineStr">
        <is>
          <t>share</t>
        </is>
      </c>
      <c r="D14" t="inlineStr"/>
      <c r="E14" t="inlineStr">
        <is>
          <t>[judgment; proposed] No effect while electricity_price_kwh is zero.</t>
        </is>
      </c>
    </row>
    <row r="15">
      <c r="A15" t="inlineStr">
        <is>
          <t>residual_value_share</t>
        </is>
      </c>
      <c r="B15" s="12" t="n">
        <v>0</v>
      </c>
      <c r="C15" t="inlineStr">
        <is>
          <t>share</t>
        </is>
      </c>
      <c r="D15" t="inlineStr"/>
      <c r="E15" t="inlineStr">
        <is>
          <t>[judgment; proposed; range 0 to 0.2] Cautious default. The S-1 gives no resale or redeployment value for retired GPUs.</t>
        </is>
      </c>
    </row>
    <row r="16">
      <c r="A16" t="inlineStr">
        <is>
          <t>disclosed_cash_payback_years</t>
        </is>
      </c>
      <c r="B16" s="5" t="n">
        <v>2.5</v>
      </c>
      <c r="C16" t="inlineStr">
        <is>
          <t>years</t>
        </is>
      </c>
      <c r="D16" t="inlineStr">
        <is>
          <t>S-1 p.97</t>
        </is>
      </c>
      <c r="E16" t="inlineStr">
        <is>
          <t>[disclosed; proposed] Not an input. The company's own average cash payback on committed contracts at Dec 31, 2024, measured per GPU through adjusted EBITDA and net of customer prepayments. Shown beside the model's payback as a check.</t>
        </is>
      </c>
    </row>
    <row r="17">
      <c r="A17" t="inlineStr">
        <is>
          <t>prepayment_share_of_tcv</t>
        </is>
      </c>
      <c r="B17" s="12" t="n">
        <v>0.1</v>
      </c>
      <c r="C17" t="inlineStr">
        <is>
          <t>share</t>
        </is>
      </c>
      <c r="D17" t="inlineStr">
        <is>
          <t>S-1 p.96; 10-Q FY2026 Q2 and 10-K FY2025 cash flow statements (XBRL) with the contracted-power additions in the earnings releases</t>
        </is>
      </c>
      <c r="E17" t="inlineStr">
        <is>
          <t>[derived; proposed; range 0.07 to 0.25] Two readings disagree. The S-1 says the weighted-average prepayment across active contracts was 15% to 25% of contract value at Dec 31 2024. The cash evidence since then is lower: prepayments received (change in deferred revenue plus prepaid revenue recognised) were 6,873 USD m over the six quarters to June 2026 against 2,400 MW of contracted power added, about 2.9 USD m per contracted MW, which is 8% of the 36 USD m of contract value per MW the model assumes (9 USD m a year for four years). The larger 2025-26 contracts appear to carry smaller prepayments, or the cash arrives later than signing. 10% leans on the cash evidence; the range spans both readings. Prepayments are generally credited against the final months of a contract, in some cases the first months after go-live.</t>
        </is>
      </c>
    </row>
    <row r="18">
      <c r="A18" t="inlineStr">
        <is>
          <t>contract_years</t>
        </is>
      </c>
      <c r="B18" s="5" t="n">
        <v>4</v>
      </c>
      <c r="C18" t="inlineStr">
        <is>
          <t>years</t>
        </is>
      </c>
      <c r="D18" t="inlineStr">
        <is>
          <t>S-1 p.96, p.152</t>
        </is>
      </c>
      <c r="E18" t="inlineStr">
        <is>
          <t>[disclosed; proposed; range 2 to 5] Committed contracts run two to five years; weighted-average duration was approximately four years at Dec 31, 2024.</t>
        </is>
      </c>
    </row>
    <row r="19">
      <c r="A19" t="inlineStr">
        <is>
          <t>prepaid_revenue_recognised_share_per_quarter</t>
        </is>
      </c>
      <c r="B19" s="12" t="n">
        <v>0.03</v>
      </c>
      <c r="C19" t="inlineStr">
        <is>
          <t>share</t>
        </is>
      </c>
      <c r="D19" t="inlineStr">
        <is>
          <t>10-Q FY2026 Q2 (XBRL ContractWithCustomerLiabilityRevenueRecognized, ContractWithCustomerLiability)</t>
        </is>
      </c>
      <c r="E19" t="inlineStr">
        <is>
          <t>[derived; proposed; range 0.01 to 0.06] Prepaid revenue recognised in a quarter as a share of the opening deferred-revenue balance: 1.2%, 2.3%, 3.7% and 3.3% over the four quarters to June 2026. Low because prepayments are credited in the final months of four-year contracts, so most of the balance has not started to unwind. A flat share understates recognition later in the forecast: the 4.1 USD bn balance of Dec 2024 is due to be credited during 2027-28, inside the window, which a flat 3% does not capture. A vintage-by-vintage schedule is the next refinement; the high end of the range approximates it.</t>
        </is>
      </c>
    </row>
    <row r="20">
      <c r="A20" t="inlineStr">
        <is>
          <t>mw_added_per_quarter</t>
        </is>
      </c>
      <c r="B20" s="5" t="n">
        <v>350</v>
      </c>
      <c r="C20" t="inlineStr">
        <is>
          <t>MW</t>
        </is>
      </c>
      <c r="D20" t="inlineStr">
        <is>
          <t>8-K EX-99.1 2025-05-14 to 2026-08-11; 8-K EX-99.1 2026-05-07 (8 GW by 2030)</t>
        </is>
      </c>
      <c r="E20" t="inlineStr">
        <is>
          <t>[derived; proposed; range 200 to 600] Active power going live per quarter. It was 60, 50, 120, 260, 150 and 500 MW over the six quarters to June 2026 (average of the last four: 258; last two: 325). Reaching the more than 8 GW by 2030 the company describes from 1.5 GW at June 2026 needs about 360 MW a quarter. Held flat across the forecast. Capacity is drawn from the contracted-but-not-active pipeline (2.2 GW at June 2026); the Drivers sheet shows that pipeline so a plan that outruns it is visible.</t>
        </is>
      </c>
    </row>
    <row r="21">
      <c r="A21" t="inlineStr">
        <is>
          <t>mw_contracted_per_quarter</t>
        </is>
      </c>
      <c r="B21" s="5" t="n">
        <v>400</v>
      </c>
      <c r="C21" t="inlineStr">
        <is>
          <t>MW</t>
        </is>
      </c>
      <c r="D21" t="inlineStr">
        <is>
          <t>8-K EX-99.1 2025-05-14 to 2026-08-11 (total contracted power)</t>
        </is>
      </c>
      <c r="E21" t="inlineStr">
        <is>
          <t>[derived; proposed; range 200 to 800] Contracted power signed per quarter: 300, 600, 700, 200, 400 and 200 MW over the six quarters to June 2026 (average 400). Drives the contracts signed, the backlog and the prepayments in the forecast; active power going live is a separate assumption and draws from the resulting pipeline. Held flat.</t>
        </is>
      </c>
    </row>
    <row r="22">
      <c r="A22" t="inlineStr">
        <is>
          <t>revenue_per_mw_year_usd_m</t>
        </is>
      </c>
      <c r="B22" s="5" t="n">
        <v>9</v>
      </c>
      <c r="C22" t="inlineStr">
        <is>
          <t>USD m</t>
        </is>
      </c>
      <c r="D22" t="inlineStr">
        <is>
          <t>Outputs sheet (revenue / average active power, 2025Q3 to 2026Q2)</t>
        </is>
      </c>
      <c r="E22" t="inlineStr">
        <is>
          <t>[derived; proposed; range 7 to 11] Annualised revenue per MW of average active power was 10.3, 8.7, 9.0 and 8.2 USD m over the four quarters to June 2026 (mean 9.1). New capacity earns less per MW while it fills, so the trend is down; 9 assumes the fill lag stays as it is.</t>
        </is>
      </c>
    </row>
    <row r="23">
      <c r="A23" t="inlineStr">
        <is>
          <t>adjusted_ebitda_margin</t>
        </is>
      </c>
      <c r="B23" s="12" t="n">
        <v>0.58</v>
      </c>
      <c r="C23" t="inlineStr">
        <is>
          <t>share</t>
        </is>
      </c>
      <c r="D23" t="inlineStr">
        <is>
          <t>8-K EX-99.1 2025-11-10 to 2026-08-11</t>
        </is>
      </c>
      <c r="E23" t="inlineStr">
        <is>
          <t>[derived; proposed; range 0.52 to 0.65] Adjusted EBITDA margin was 61.4%, 57.1%, 55.7% and 58.6% over the four quarters to June 2026 (mean 58.2%). Held flat.</t>
        </is>
      </c>
    </row>
    <row r="24">
      <c r="A24" t="inlineStr">
        <is>
          <t>capex_per_mw_usd_m</t>
        </is>
      </c>
      <c r="B24" s="5" t="n">
        <v>22</v>
      </c>
      <c r="C24" t="inlineStr">
        <is>
          <t>USD m</t>
        </is>
      </c>
      <c r="D24" t="inlineStr">
        <is>
          <t>Outputs sheet (cumulative capex / cumulative MW added since 2025Q1)</t>
        </is>
      </c>
      <c r="E24" t="inlineStr">
        <is>
          <t>[derived; proposed; range 15 to 35] Cumulative capital expenditure per MW of active power added since 2025Q1 was 21.4 USD m at June 2026 (single quarters range from 13 to 51 because spending lands before the capacity it buys goes live). Applied to the MW added in the same quarter; a spend-to-live lag is not modelled.</t>
        </is>
      </c>
    </row>
    <row r="25">
      <c r="A25" t="inlineStr">
        <is>
          <t>debt_share_of_capex</t>
        </is>
      </c>
      <c r="B25" s="12" t="n">
        <v>0.8</v>
      </c>
      <c r="C25" t="inlineStr">
        <is>
          <t>share</t>
        </is>
      </c>
      <c r="D25" t="inlineStr">
        <is>
          <t>10-Q FY2026 Q2 (XBRL ProceedsFromIssuanceOfLongTermDebt, RepaymentsOfLongTermDebt, PaymentsToAcquirePropertyPlantAndEquipment)</t>
        </is>
      </c>
      <c r="E25" t="inlineStr">
        <is>
          <t>[derived; proposed; range 0.5 to 0.9] NET debt raised (proceeds less repayments) as a share of capital expenditure: 82% in both FY2025 (8,430 / 10,309 USD m) and H1 2026 (11,528 / 14,117). Gross proceeds were 115% and 119% of capex over the same periods because maturities were refinanced. The model applies the share net: gross draws are the net share of capex plus the scheduled repayments from the maturity ladder, so debt principal grows by 80% of capex. The DDTL facilities lend against the depreciated cost of GPUs backed by signed contracts, so the share holds while contracts keep coming.</t>
        </is>
      </c>
    </row>
    <row r="26">
      <c r="A26" t="inlineStr">
        <is>
          <t>cost_of_debt</t>
        </is>
      </c>
      <c r="B26" s="12" t="n">
        <v>0.075</v>
      </c>
      <c r="C26" t="inlineStr">
        <is>
          <t>decimal</t>
        </is>
      </c>
      <c r="D26" t="inlineStr">
        <is>
          <t>10-Q FY2026 Q2 p.27 to p.28</t>
        </is>
      </c>
      <c r="E26" t="inlineStr">
        <is>
          <t>[derived; proposed; range 0.065 to 0.1] Interest expensed on the average debt balance, as a share of that balance: 558 USD m in Q2 2026 annualised over average principal of 30.4 USD bn is 7.4%, and the quarterly figure fell from 10.3% to 7.4% between Q2 2025 and Q2 2026 as cheaper facilities were added. The contractual rates on the June 2026 stack run from 7% (DDTL 4.0) to 15% (DDTL 1.0), with the 2026 facilities and notes at 9% to 10% (10-Q p.27 to p.28). The gap between contractual and expensed interest is interest capitalised into construction, which is already inside capex_per_mw_usd_m, so the expensed rate is the one that pairs with that capex figure without double counting. financing_rate, above, is the historical cost applied to the per-GPU capital charge.</t>
        </is>
      </c>
    </row>
    <row r="27">
      <c r="A27" t="inlineStr">
        <is>
          <t>receivables_share_of_quarterly_revenue</t>
        </is>
      </c>
      <c r="B27" s="5" t="n">
        <v>1</v>
      </c>
      <c r="C27" t="inlineStr">
        <is>
          <t>ratio</t>
        </is>
      </c>
      <c r="D27" t="inlineStr">
        <is>
          <t>10-Q FY2026 Q2 and 10-K FY2025 balance sheets (XBRL AccountsReceivableNetCurrent)</t>
        </is>
      </c>
      <c r="E27" t="inlineStr">
        <is>
          <t>[derived; proposed; range 0.8 to 2] Receivables at quarter end as a multiple of that quarter's revenue: 1.07, 1.60, 1.22, 2.02, 1.02 and 0.99 over the six quarters to June 2026. Receivables grew by 2,124 USD m over the period, most of the gap between reported cash from operations and adjusted EBITDA; invoiced prepayments sit here until they are paid. In the forecast the receivables balance grows with revenue at this multiple, so the cash drag fades as growth slows.</t>
        </is>
      </c>
    </row>
    <row r="28">
      <c r="A28" t="inlineStr">
        <is>
          <t>other_operating_cash_share_of_revenue</t>
        </is>
      </c>
      <c r="B28" s="12" t="n">
        <v>-0.03</v>
      </c>
      <c r="C28" t="inlineStr">
        <is>
          <t>share</t>
        </is>
      </c>
      <c r="D28" t="inlineStr">
        <is>
          <t>10-Q FY2026 Q2 and 10-K FY2025 cash flow statements (XBRL)</t>
        </is>
      </c>
      <c r="E28" t="inlineStr">
        <is>
          <t>[derived; proposed; range -0.1 to 0] What reported cash from operations leaves unexplained after adjusted EBITDA, interest on debt, the change in deferred revenue and the receivables build: -324 USD m over the six quarters to June 2026, -3% of revenue (taxes paid, other working capital). Before the receivables line was separated, this residual was -2,448 USD m or -25% of revenue; receivables growth accounts for most of it. Single quarters swing widely, so only the multi-quarter figure means anything.</t>
        </is>
      </c>
    </row>
    <row r="29">
      <c r="A29" t="inlineStr">
        <is>
          <t>minimum_cash_usd_bn</t>
        </is>
      </c>
      <c r="B29" s="5" t="n">
        <v>2</v>
      </c>
      <c r="C29" t="inlineStr">
        <is>
          <t>USD bn</t>
        </is>
      </c>
      <c r="D29" t="inlineStr"/>
      <c r="E29" t="inlineStr">
        <is>
          <t>[judgment; proposed; range 1 to 4] Cash the company is assumed to keep on hand. Quarter-end cash was between 1.2 and 5.5 USD bn over the six quarters to June 2026 (1.4 at Dec 2024). When the forecast cash balance would fall below this, the model shows the shortfall as external funding required: equity-like money that bears no interest and is not repaid, so it does not enter debt or leverage.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0" t="inlineStr">
        <is>
          <t>Line item</t>
        </is>
      </c>
      <c r="B1" s="10" t="inlineStr">
        <is>
          <t>Unit</t>
        </is>
      </c>
      <c r="C1" s="13" t="inlineStr">
        <is>
          <t>2025Q1A</t>
        </is>
      </c>
      <c r="D1" s="13" t="inlineStr">
        <is>
          <t>2025Q2A</t>
        </is>
      </c>
      <c r="E1" s="13" t="inlineStr">
        <is>
          <t>2025Q3A</t>
        </is>
      </c>
      <c r="F1" s="13" t="inlineStr">
        <is>
          <t>2025Q4A</t>
        </is>
      </c>
      <c r="G1" s="13" t="inlineStr">
        <is>
          <t>2026Q1A</t>
        </is>
      </c>
      <c r="H1" s="13" t="inlineStr">
        <is>
          <t>2026Q2A</t>
        </is>
      </c>
      <c r="I1" s="13" t="inlineStr">
        <is>
          <t>2026Q3E</t>
        </is>
      </c>
      <c r="J1" s="13" t="inlineStr">
        <is>
          <t>2026Q4E</t>
        </is>
      </c>
      <c r="K1" s="13" t="inlineStr">
        <is>
          <t>2027Q1E</t>
        </is>
      </c>
      <c r="L1" s="13" t="inlineStr">
        <is>
          <t>2027Q2E</t>
        </is>
      </c>
      <c r="M1" s="13" t="inlineStr">
        <is>
          <t>2027Q3E</t>
        </is>
      </c>
      <c r="N1" s="13" t="inlineStr">
        <is>
          <t>2027Q4E</t>
        </is>
      </c>
      <c r="O1" s="13" t="inlineStr">
        <is>
          <t>2028Q1E</t>
        </is>
      </c>
      <c r="P1" s="13" t="inlineStr">
        <is>
          <t>2028Q2E</t>
        </is>
      </c>
      <c r="Q1" s="13" t="inlineStr">
        <is>
          <t>2028Q3E</t>
        </is>
      </c>
      <c r="R1" s="13" t="inlineStr">
        <is>
          <t>2028Q4E</t>
        </is>
      </c>
    </row>
    <row r="2">
      <c r="A2" t="inlineStr">
        <is>
          <t>Active power, end of quarter</t>
        </is>
      </c>
      <c r="B2" t="inlineStr">
        <is>
          <t>MW</t>
        </is>
      </c>
      <c r="C2" s="14" t="n">
        <v>420</v>
      </c>
      <c r="D2" s="14" t="n">
        <v>470</v>
      </c>
      <c r="E2" s="14" t="n">
        <v>590</v>
      </c>
      <c r="F2" s="14" t="n">
        <v>850</v>
      </c>
      <c r="G2" s="14" t="n">
        <v>1000</v>
      </c>
      <c r="H2" s="14" t="n">
        <v>1500</v>
      </c>
      <c r="I2" s="15">
        <f>H2+in_mw_added_per_quarter</f>
        <v/>
      </c>
      <c r="J2" s="15">
        <f>I2+in_mw_added_per_quarter</f>
        <v/>
      </c>
      <c r="K2" s="15">
        <f>J2+in_mw_added_per_quarter</f>
        <v/>
      </c>
      <c r="L2" s="15">
        <f>K2+in_mw_added_per_quarter</f>
        <v/>
      </c>
      <c r="M2" s="15">
        <f>L2+in_mw_added_per_quarter</f>
        <v/>
      </c>
      <c r="N2" s="15">
        <f>M2+in_mw_added_per_quarter</f>
        <v/>
      </c>
      <c r="O2" s="15">
        <f>N2+in_mw_added_per_quarter</f>
        <v/>
      </c>
      <c r="P2" s="15">
        <f>O2+in_mw_added_per_quarter</f>
        <v/>
      </c>
      <c r="Q2" s="15">
        <f>P2+in_mw_added_per_quarter</f>
        <v/>
      </c>
      <c r="R2" s="15">
        <f>Q2+in_mw_added_per_quarter</f>
        <v/>
      </c>
    </row>
    <row r="3">
      <c r="A3" t="inlineStr">
        <is>
          <t>Active power added (went live)</t>
        </is>
      </c>
      <c r="B3" t="inlineStr">
        <is>
          <t>MW</t>
        </is>
      </c>
      <c r="C3" s="14" t="n">
        <v>60</v>
      </c>
      <c r="D3" s="16">
        <f>D2-C2</f>
        <v/>
      </c>
      <c r="E3" s="16">
        <f>E2-D2</f>
        <v/>
      </c>
      <c r="F3" s="16">
        <f>F2-E2</f>
        <v/>
      </c>
      <c r="G3" s="16">
        <f>G2-F2</f>
        <v/>
      </c>
      <c r="H3" s="16">
        <f>H2-G2</f>
        <v/>
      </c>
      <c r="I3" s="16">
        <f>I2-H2</f>
        <v/>
      </c>
      <c r="J3" s="16">
        <f>J2-I2</f>
        <v/>
      </c>
      <c r="K3" s="16">
        <f>K2-J2</f>
        <v/>
      </c>
      <c r="L3" s="16">
        <f>L2-K2</f>
        <v/>
      </c>
      <c r="M3" s="16">
        <f>M2-L2</f>
        <v/>
      </c>
      <c r="N3" s="16">
        <f>N2-M2</f>
        <v/>
      </c>
      <c r="O3" s="16">
        <f>O2-N2</f>
        <v/>
      </c>
      <c r="P3" s="16">
        <f>P2-O2</f>
        <v/>
      </c>
      <c r="Q3" s="16">
        <f>Q2-P2</f>
        <v/>
      </c>
      <c r="R3" s="16">
        <f>R2-Q2</f>
        <v/>
      </c>
    </row>
    <row r="4">
      <c r="A4" t="inlineStr">
        <is>
          <t>Active power, average</t>
        </is>
      </c>
      <c r="B4" t="inlineStr">
        <is>
          <t>MW</t>
        </is>
      </c>
      <c r="C4" s="14" t="n">
        <v>390</v>
      </c>
      <c r="D4" s="16">
        <f>(C2+D2)/2</f>
        <v/>
      </c>
      <c r="E4" s="16">
        <f>(D2+E2)/2</f>
        <v/>
      </c>
      <c r="F4" s="16">
        <f>(E2+F2)/2</f>
        <v/>
      </c>
      <c r="G4" s="16">
        <f>(F2+G2)/2</f>
        <v/>
      </c>
      <c r="H4" s="16">
        <f>(G2+H2)/2</f>
        <v/>
      </c>
      <c r="I4" s="16">
        <f>(H2+I2)/2</f>
        <v/>
      </c>
      <c r="J4" s="16">
        <f>(I2+J2)/2</f>
        <v/>
      </c>
      <c r="K4" s="16">
        <f>(J2+K2)/2</f>
        <v/>
      </c>
      <c r="L4" s="16">
        <f>(K2+L2)/2</f>
        <v/>
      </c>
      <c r="M4" s="16">
        <f>(L2+M2)/2</f>
        <v/>
      </c>
      <c r="N4" s="16">
        <f>(M2+N2)/2</f>
        <v/>
      </c>
      <c r="O4" s="16">
        <f>(N2+O2)/2</f>
        <v/>
      </c>
      <c r="P4" s="16">
        <f>(O2+P2)/2</f>
        <v/>
      </c>
      <c r="Q4" s="16">
        <f>(P2+Q2)/2</f>
        <v/>
      </c>
      <c r="R4" s="16">
        <f>(Q2+R2)/2</f>
        <v/>
      </c>
    </row>
    <row r="5">
      <c r="A5" t="inlineStr">
        <is>
          <t>Contracted power added (signed)</t>
        </is>
      </c>
      <c r="B5" t="inlineStr">
        <is>
          <t>MW</t>
        </is>
      </c>
      <c r="C5" s="14" t="n">
        <v>300.0000000000001</v>
      </c>
      <c r="D5" s="16">
        <f>(D6-C6)*1000</f>
        <v/>
      </c>
      <c r="E5" s="16">
        <f>(E6-D6)*1000</f>
        <v/>
      </c>
      <c r="F5" s="16">
        <f>(F6-E6)*1000</f>
        <v/>
      </c>
      <c r="G5" s="16">
        <f>(G6-F6)*1000</f>
        <v/>
      </c>
      <c r="H5" s="16">
        <f>(H6-G6)*1000</f>
        <v/>
      </c>
      <c r="I5" s="16">
        <f>(I6-H6)*1000</f>
        <v/>
      </c>
      <c r="J5" s="16">
        <f>(J6-I6)*1000</f>
        <v/>
      </c>
      <c r="K5" s="16">
        <f>(K6-J6)*1000</f>
        <v/>
      </c>
      <c r="L5" s="16">
        <f>(L6-K6)*1000</f>
        <v/>
      </c>
      <c r="M5" s="16">
        <f>(M6-L6)*1000</f>
        <v/>
      </c>
      <c r="N5" s="16">
        <f>(N6-M6)*1000</f>
        <v/>
      </c>
      <c r="O5" s="16">
        <f>(O6-N6)*1000</f>
        <v/>
      </c>
      <c r="P5" s="16">
        <f>(P6-O6)*1000</f>
        <v/>
      </c>
      <c r="Q5" s="16">
        <f>(Q6-P6)*1000</f>
        <v/>
      </c>
      <c r="R5" s="16">
        <f>(R6-Q6)*1000</f>
        <v/>
      </c>
    </row>
    <row r="6">
      <c r="A6" t="inlineStr">
        <is>
          <t>Contracted power, end of quarter</t>
        </is>
      </c>
      <c r="B6" t="inlineStr">
        <is>
          <t>GW</t>
        </is>
      </c>
      <c r="C6" s="14" t="n">
        <v>1.6</v>
      </c>
      <c r="D6" s="14" t="n">
        <v>2.2</v>
      </c>
      <c r="E6" s="14" t="n">
        <v>2.9</v>
      </c>
      <c r="F6" s="14" t="n">
        <v>3.1</v>
      </c>
      <c r="G6" s="14" t="n">
        <v>3.5</v>
      </c>
      <c r="H6" s="14" t="n">
        <v>3.7</v>
      </c>
      <c r="I6" s="15">
        <f>H6+in_mw_contracted_per_quarter/1000</f>
        <v/>
      </c>
      <c r="J6" s="15">
        <f>I6+in_mw_contracted_per_quarter/1000</f>
        <v/>
      </c>
      <c r="K6" s="15">
        <f>J6+in_mw_contracted_per_quarter/1000</f>
        <v/>
      </c>
      <c r="L6" s="15">
        <f>K6+in_mw_contracted_per_quarter/1000</f>
        <v/>
      </c>
      <c r="M6" s="15">
        <f>L6+in_mw_contracted_per_quarter/1000</f>
        <v/>
      </c>
      <c r="N6" s="15">
        <f>M6+in_mw_contracted_per_quarter/1000</f>
        <v/>
      </c>
      <c r="O6" s="15">
        <f>N6+in_mw_contracted_per_quarter/1000</f>
        <v/>
      </c>
      <c r="P6" s="15">
        <f>O6+in_mw_contracted_per_quarter/1000</f>
        <v/>
      </c>
      <c r="Q6" s="15">
        <f>P6+in_mw_contracted_per_quarter/1000</f>
        <v/>
      </c>
      <c r="R6" s="15">
        <f>Q6+in_mw_contracted_per_quarter/1000</f>
        <v/>
      </c>
    </row>
    <row r="7">
      <c r="A7" t="inlineStr">
        <is>
          <t>Contracted but not yet active</t>
        </is>
      </c>
      <c r="B7" t="inlineStr">
        <is>
          <t>GW</t>
        </is>
      </c>
      <c r="C7" s="16">
        <f>C6-C2/1000</f>
        <v/>
      </c>
      <c r="D7" s="16">
        <f>D6-D2/1000</f>
        <v/>
      </c>
      <c r="E7" s="16">
        <f>E6-E2/1000</f>
        <v/>
      </c>
      <c r="F7" s="16">
        <f>F6-F2/1000</f>
        <v/>
      </c>
      <c r="G7" s="16">
        <f>G6-G2/1000</f>
        <v/>
      </c>
      <c r="H7" s="16">
        <f>H6-H2/1000</f>
        <v/>
      </c>
      <c r="I7" s="16">
        <f>I6-I2/1000</f>
        <v/>
      </c>
      <c r="J7" s="16">
        <f>J6-J2/1000</f>
        <v/>
      </c>
      <c r="K7" s="16">
        <f>K6-K2/1000</f>
        <v/>
      </c>
      <c r="L7" s="16">
        <f>L6-L2/1000</f>
        <v/>
      </c>
      <c r="M7" s="16">
        <f>M6-M2/1000</f>
        <v/>
      </c>
      <c r="N7" s="16">
        <f>N6-N2/1000</f>
        <v/>
      </c>
      <c r="O7" s="16">
        <f>O6-O2/1000</f>
        <v/>
      </c>
      <c r="P7" s="16">
        <f>P6-P2/1000</f>
        <v/>
      </c>
      <c r="Q7" s="16">
        <f>Q6-Q2/1000</f>
        <v/>
      </c>
      <c r="R7" s="16">
        <f>R6-R2/1000</f>
        <v/>
      </c>
    </row>
    <row r="8">
      <c r="A8" t="inlineStr">
        <is>
          <t>Hours in the quarter</t>
        </is>
      </c>
      <c r="B8" t="inlineStr">
        <is>
          <t>hours</t>
        </is>
      </c>
      <c r="C8" s="14" t="n">
        <v>2160</v>
      </c>
      <c r="D8" s="14" t="n">
        <v>2184</v>
      </c>
      <c r="E8" s="14" t="n">
        <v>2208</v>
      </c>
      <c r="F8" s="14" t="n">
        <v>2208</v>
      </c>
      <c r="G8" s="14" t="n">
        <v>2160</v>
      </c>
      <c r="H8" s="14" t="n">
        <v>2184</v>
      </c>
      <c r="I8" s="14" t="n">
        <v>2208</v>
      </c>
      <c r="J8" s="14" t="n">
        <v>2208</v>
      </c>
      <c r="K8" s="14" t="n">
        <v>2160</v>
      </c>
      <c r="L8" s="14" t="n">
        <v>2184</v>
      </c>
      <c r="M8" s="14" t="n">
        <v>2208</v>
      </c>
      <c r="N8" s="14" t="n">
        <v>2208</v>
      </c>
      <c r="O8" s="14" t="n">
        <v>2184</v>
      </c>
      <c r="P8" s="14" t="n">
        <v>2184</v>
      </c>
      <c r="Q8" s="14" t="n">
        <v>2208</v>
      </c>
      <c r="R8" s="14" t="n">
        <v>2208</v>
      </c>
    </row>
    <row r="9">
      <c r="A9" t="inlineStr">
        <is>
          <t>GPUs installed, average (from MW and kW per GPU)</t>
        </is>
      </c>
      <c r="B9" t="inlineStr">
        <is>
          <t>GPUs</t>
        </is>
      </c>
      <c r="C9" s="15">
        <f>C4*1000/in_power_draw_kw</f>
        <v/>
      </c>
      <c r="D9" s="15">
        <f>D4*1000/in_power_draw_kw</f>
        <v/>
      </c>
      <c r="E9" s="15">
        <f>E4*1000/in_power_draw_kw</f>
        <v/>
      </c>
      <c r="F9" s="15">
        <f>F4*1000/in_power_draw_kw</f>
        <v/>
      </c>
      <c r="G9" s="15">
        <f>G4*1000/in_power_draw_kw</f>
        <v/>
      </c>
      <c r="H9" s="15">
        <f>H4*1000/in_power_draw_kw</f>
        <v/>
      </c>
      <c r="I9" s="15">
        <f>I4*1000/in_power_draw_kw</f>
        <v/>
      </c>
      <c r="J9" s="15">
        <f>J4*1000/in_power_draw_kw</f>
        <v/>
      </c>
      <c r="K9" s="15">
        <f>K4*1000/in_power_draw_kw</f>
        <v/>
      </c>
      <c r="L9" s="15">
        <f>L4*1000/in_power_draw_kw</f>
        <v/>
      </c>
      <c r="M9" s="15">
        <f>M4*1000/in_power_draw_kw</f>
        <v/>
      </c>
      <c r="N9" s="15">
        <f>N4*1000/in_power_draw_kw</f>
        <v/>
      </c>
      <c r="O9" s="15">
        <f>O4*1000/in_power_draw_kw</f>
        <v/>
      </c>
      <c r="P9" s="15">
        <f>P4*1000/in_power_draw_kw</f>
        <v/>
      </c>
      <c r="Q9" s="15">
        <f>Q4*1000/in_power_draw_kw</f>
        <v/>
      </c>
      <c r="R9" s="15">
        <f>R4*1000/in_power_draw_kw</f>
        <v/>
      </c>
    </row>
    <row r="10">
      <c r="A10" t="inlineStr">
        <is>
          <t>Installed GPU-hours</t>
        </is>
      </c>
      <c r="B10" t="inlineStr">
        <is>
          <t>millions</t>
        </is>
      </c>
      <c r="C10" s="16">
        <f>C9*C8/1000000</f>
        <v/>
      </c>
      <c r="D10" s="16">
        <f>D9*D8/1000000</f>
        <v/>
      </c>
      <c r="E10" s="16">
        <f>E9*E8/1000000</f>
        <v/>
      </c>
      <c r="F10" s="16">
        <f>F9*F8/1000000</f>
        <v/>
      </c>
      <c r="G10" s="16">
        <f>G9*G8/1000000</f>
        <v/>
      </c>
      <c r="H10" s="16">
        <f>H9*H8/1000000</f>
        <v/>
      </c>
      <c r="I10" s="16">
        <f>I9*I8/1000000</f>
        <v/>
      </c>
      <c r="J10" s="16">
        <f>J9*J8/1000000</f>
        <v/>
      </c>
      <c r="K10" s="16">
        <f>K9*K8/1000000</f>
        <v/>
      </c>
      <c r="L10" s="16">
        <f>L9*L8/1000000</f>
        <v/>
      </c>
      <c r="M10" s="16">
        <f>M9*M8/1000000</f>
        <v/>
      </c>
      <c r="N10" s="16">
        <f>N9*N8/1000000</f>
        <v/>
      </c>
      <c r="O10" s="16">
        <f>O9*O8/1000000</f>
        <v/>
      </c>
      <c r="P10" s="16">
        <f>P9*P8/1000000</f>
        <v/>
      </c>
      <c r="Q10" s="16">
        <f>Q9*Q8/1000000</f>
        <v/>
      </c>
      <c r="R10" s="16">
        <f>R9*R8/1000000</f>
        <v/>
      </c>
    </row>
    <row r="11">
      <c r="A11" t="inlineStr">
        <is>
          <t>Revenue</t>
        </is>
      </c>
      <c r="B11" t="inlineStr">
        <is>
          <t>USD m</t>
        </is>
      </c>
      <c r="C11" s="17" t="n">
        <v>982</v>
      </c>
      <c r="D11" s="17" t="n">
        <v>1212</v>
      </c>
      <c r="E11" s="17" t="n">
        <v>1364.676</v>
      </c>
      <c r="F11" s="17" t="n">
        <v>1571.904</v>
      </c>
      <c r="G11" s="17" t="n">
        <v>2078</v>
      </c>
      <c r="H11" s="17" t="n">
        <v>2575</v>
      </c>
      <c r="I11" s="18">
        <f>in_revenue_per_mw_year_usd_m*I4*I8/8760</f>
        <v/>
      </c>
      <c r="J11" s="18">
        <f>in_revenue_per_mw_year_usd_m*J4*J8/8760</f>
        <v/>
      </c>
      <c r="K11" s="18">
        <f>in_revenue_per_mw_year_usd_m*K4*K8/8760</f>
        <v/>
      </c>
      <c r="L11" s="18">
        <f>in_revenue_per_mw_year_usd_m*L4*L8/8760</f>
        <v/>
      </c>
      <c r="M11" s="18">
        <f>in_revenue_per_mw_year_usd_m*M4*M8/8760</f>
        <v/>
      </c>
      <c r="N11" s="18">
        <f>in_revenue_per_mw_year_usd_m*N4*N8/8760</f>
        <v/>
      </c>
      <c r="O11" s="18">
        <f>in_revenue_per_mw_year_usd_m*O4*O8/8760</f>
        <v/>
      </c>
      <c r="P11" s="18">
        <f>in_revenue_per_mw_year_usd_m*P4*P8/8760</f>
        <v/>
      </c>
      <c r="Q11" s="18">
        <f>in_revenue_per_mw_year_usd_m*Q4*Q8/8760</f>
        <v/>
      </c>
      <c r="R11" s="18">
        <f>in_revenue_per_mw_year_usd_m*R4*R8/8760</f>
        <v/>
      </c>
    </row>
    <row r="12">
      <c r="A12" t="inlineStr">
        <is>
          <t>Adjusted EBITDA</t>
        </is>
      </c>
      <c r="B12" t="inlineStr">
        <is>
          <t>USD m</t>
        </is>
      </c>
      <c r="C12" s="17" t="n">
        <v>606.131</v>
      </c>
      <c r="D12" s="17" t="n">
        <v>753.169</v>
      </c>
      <c r="E12" s="17" t="n">
        <v>838.124</v>
      </c>
      <c r="F12" s="17" t="n">
        <v>898</v>
      </c>
      <c r="G12" s="17" t="n">
        <v>1157</v>
      </c>
      <c r="H12" s="17" t="n">
        <v>1510</v>
      </c>
      <c r="I12" s="18">
        <f>I11*in_adjusted_ebitda_margin</f>
        <v/>
      </c>
      <c r="J12" s="18">
        <f>J11*in_adjusted_ebitda_margin</f>
        <v/>
      </c>
      <c r="K12" s="18">
        <f>K11*in_adjusted_ebitda_margin</f>
        <v/>
      </c>
      <c r="L12" s="18">
        <f>L11*in_adjusted_ebitda_margin</f>
        <v/>
      </c>
      <c r="M12" s="18">
        <f>M11*in_adjusted_ebitda_margin</f>
        <v/>
      </c>
      <c r="N12" s="18">
        <f>N11*in_adjusted_ebitda_margin</f>
        <v/>
      </c>
      <c r="O12" s="18">
        <f>O11*in_adjusted_ebitda_margin</f>
        <v/>
      </c>
      <c r="P12" s="18">
        <f>P11*in_adjusted_ebitda_margin</f>
        <v/>
      </c>
      <c r="Q12" s="18">
        <f>Q11*in_adjusted_ebitda_margin</f>
        <v/>
      </c>
      <c r="R12" s="18">
        <f>R11*in_adjusted_ebitda_margin</f>
        <v/>
      </c>
    </row>
    <row r="13">
      <c r="A13" t="inlineStr">
        <is>
          <t>Contracts signed (contracted MW added x rate x term)</t>
        </is>
      </c>
      <c r="B13" t="inlineStr">
        <is>
          <t>USD bn</t>
        </is>
      </c>
      <c r="C13" s="17" t="n"/>
      <c r="D13" s="17" t="n"/>
      <c r="E13" s="17" t="n"/>
      <c r="F13" s="17" t="n"/>
      <c r="G13" s="17" t="n"/>
      <c r="H13" s="17" t="n"/>
      <c r="I13" s="18">
        <f>I5*in_revenue_per_mw_year_usd_m*in_contract_years/1000</f>
        <v/>
      </c>
      <c r="J13" s="18">
        <f>J5*in_revenue_per_mw_year_usd_m*in_contract_years/1000</f>
        <v/>
      </c>
      <c r="K13" s="18">
        <f>K5*in_revenue_per_mw_year_usd_m*in_contract_years/1000</f>
        <v/>
      </c>
      <c r="L13" s="18">
        <f>L5*in_revenue_per_mw_year_usd_m*in_contract_years/1000</f>
        <v/>
      </c>
      <c r="M13" s="18">
        <f>M5*in_revenue_per_mw_year_usd_m*in_contract_years/1000</f>
        <v/>
      </c>
      <c r="N13" s="18">
        <f>N5*in_revenue_per_mw_year_usd_m*in_contract_years/1000</f>
        <v/>
      </c>
      <c r="O13" s="18">
        <f>O5*in_revenue_per_mw_year_usd_m*in_contract_years/1000</f>
        <v/>
      </c>
      <c r="P13" s="18">
        <f>P5*in_revenue_per_mw_year_usd_m*in_contract_years/1000</f>
        <v/>
      </c>
      <c r="Q13" s="18">
        <f>Q5*in_revenue_per_mw_year_usd_m*in_contract_years/1000</f>
        <v/>
      </c>
      <c r="R13" s="18">
        <f>R5*in_revenue_per_mw_year_usd_m*in_contract_years/1000</f>
        <v/>
      </c>
    </row>
    <row r="14">
      <c r="A14" t="inlineStr">
        <is>
          <t>Revenue backlog</t>
        </is>
      </c>
      <c r="B14" t="inlineStr">
        <is>
          <t>USD bn</t>
        </is>
      </c>
      <c r="C14" s="17" t="n">
        <v>25.9</v>
      </c>
      <c r="D14" s="17" t="n">
        <v>30.1</v>
      </c>
      <c r="E14" s="17" t="n">
        <v>55.6</v>
      </c>
      <c r="F14" s="17" t="n">
        <v>66.8</v>
      </c>
      <c r="G14" s="17" t="n">
        <v>99.40000000000001</v>
      </c>
      <c r="H14" s="17" t="n">
        <v>104</v>
      </c>
      <c r="I14" s="19">
        <f>H14+I13-I11/1000</f>
        <v/>
      </c>
      <c r="J14" s="19">
        <f>I14+J13-J11/1000</f>
        <v/>
      </c>
      <c r="K14" s="19">
        <f>J14+K13-K11/1000</f>
        <v/>
      </c>
      <c r="L14" s="19">
        <f>K14+L13-L11/1000</f>
        <v/>
      </c>
      <c r="M14" s="19">
        <f>L14+M13-M11/1000</f>
        <v/>
      </c>
      <c r="N14" s="19">
        <f>M14+N13-N11/1000</f>
        <v/>
      </c>
      <c r="O14" s="19">
        <f>N14+O13-O11/1000</f>
        <v/>
      </c>
      <c r="P14" s="19">
        <f>O14+P13-P11/1000</f>
        <v/>
      </c>
      <c r="Q14" s="19">
        <f>P14+Q13-Q11/1000</f>
        <v/>
      </c>
      <c r="R14" s="19">
        <f>Q14+R13-R11/1000</f>
        <v/>
      </c>
    </row>
    <row r="15">
      <c r="A15" t="inlineStr">
        <is>
          <t>Capital expenditure</t>
        </is>
      </c>
      <c r="B15" t="inlineStr">
        <is>
          <t>USD m</t>
        </is>
      </c>
      <c r="C15" s="17" t="n">
        <v>1407</v>
      </c>
      <c r="D15" s="17" t="n">
        <v>2453</v>
      </c>
      <c r="E15" s="17" t="n">
        <v>2389.239</v>
      </c>
      <c r="F15" s="17" t="n">
        <v>4059.761</v>
      </c>
      <c r="G15" s="17" t="n">
        <v>7695</v>
      </c>
      <c r="H15" s="17" t="n">
        <v>6422</v>
      </c>
      <c r="I15" s="18">
        <f>in_capex_per_mw_usd_m*I3</f>
        <v/>
      </c>
      <c r="J15" s="18">
        <f>in_capex_per_mw_usd_m*J3</f>
        <v/>
      </c>
      <c r="K15" s="18">
        <f>in_capex_per_mw_usd_m*K3</f>
        <v/>
      </c>
      <c r="L15" s="18">
        <f>in_capex_per_mw_usd_m*L3</f>
        <v/>
      </c>
      <c r="M15" s="18">
        <f>in_capex_per_mw_usd_m*M3</f>
        <v/>
      </c>
      <c r="N15" s="18">
        <f>in_capex_per_mw_usd_m*N3</f>
        <v/>
      </c>
      <c r="O15" s="18">
        <f>in_capex_per_mw_usd_m*O3</f>
        <v/>
      </c>
      <c r="P15" s="18">
        <f>in_capex_per_mw_usd_m*P3</f>
        <v/>
      </c>
      <c r="Q15" s="18">
        <f>in_capex_per_mw_usd_m*Q3</f>
        <v/>
      </c>
      <c r="R15" s="18">
        <f>in_capex_per_mw_usd_m*R3</f>
        <v/>
      </c>
    </row>
    <row r="16">
      <c r="A16" t="inlineStr">
        <is>
          <t>Capital expenditure, cumulative since 2025Q1</t>
        </is>
      </c>
      <c r="B16" t="inlineStr">
        <is>
          <t>USD m</t>
        </is>
      </c>
      <c r="C16" s="17" t="n">
        <v>1407</v>
      </c>
      <c r="D16" s="19">
        <f>C16+D15</f>
        <v/>
      </c>
      <c r="E16" s="19">
        <f>D16+E15</f>
        <v/>
      </c>
      <c r="F16" s="19">
        <f>E16+F15</f>
        <v/>
      </c>
      <c r="G16" s="19">
        <f>F16+G15</f>
        <v/>
      </c>
      <c r="H16" s="19">
        <f>G16+H15</f>
        <v/>
      </c>
      <c r="I16" s="19">
        <f>H16+I15</f>
        <v/>
      </c>
      <c r="J16" s="19">
        <f>I16+J15</f>
        <v/>
      </c>
      <c r="K16" s="19">
        <f>J16+K15</f>
        <v/>
      </c>
      <c r="L16" s="19">
        <f>K16+L15</f>
        <v/>
      </c>
      <c r="M16" s="19">
        <f>L16+M15</f>
        <v/>
      </c>
      <c r="N16" s="19">
        <f>M16+N15</f>
        <v/>
      </c>
      <c r="O16" s="19">
        <f>N16+O15</f>
        <v/>
      </c>
      <c r="P16" s="19">
        <f>O16+P15</f>
        <v/>
      </c>
      <c r="Q16" s="19">
        <f>P16+Q15</f>
        <v/>
      </c>
      <c r="R16" s="19">
        <f>Q16+R15</f>
        <v/>
      </c>
    </row>
    <row r="17">
      <c r="A17" t="inlineStr">
        <is>
          <t>Active power added, cumulative since 2025Q1</t>
        </is>
      </c>
      <c r="B17" t="inlineStr">
        <is>
          <t>MW</t>
        </is>
      </c>
      <c r="C17" s="14" t="n">
        <v>60</v>
      </c>
      <c r="D17" s="16">
        <f>C17+D3</f>
        <v/>
      </c>
      <c r="E17" s="16">
        <f>D17+E3</f>
        <v/>
      </c>
      <c r="F17" s="16">
        <f>E17+F3</f>
        <v/>
      </c>
      <c r="G17" s="16">
        <f>F17+G3</f>
        <v/>
      </c>
      <c r="H17" s="16">
        <f>G17+H3</f>
        <v/>
      </c>
      <c r="I17" s="16">
        <f>H17+I3</f>
        <v/>
      </c>
      <c r="J17" s="16">
        <f>I17+J3</f>
        <v/>
      </c>
      <c r="K17" s="16">
        <f>J17+K3</f>
        <v/>
      </c>
      <c r="L17" s="16">
        <f>K17+L3</f>
        <v/>
      </c>
      <c r="M17" s="16">
        <f>L17+M3</f>
        <v/>
      </c>
      <c r="N17" s="16">
        <f>M17+N3</f>
        <v/>
      </c>
      <c r="O17" s="16">
        <f>N17+O3</f>
        <v/>
      </c>
      <c r="P17" s="16">
        <f>O17+P3</f>
        <v/>
      </c>
      <c r="Q17" s="16">
        <f>P17+Q3</f>
        <v/>
      </c>
      <c r="R17" s="16">
        <f>Q17+R3</f>
        <v/>
      </c>
    </row>
    <row r="18">
      <c r="A18" t="inlineStr">
        <is>
          <t>Customer prepayments received</t>
        </is>
      </c>
      <c r="B18" t="inlineStr">
        <is>
          <t>USD m</t>
        </is>
      </c>
      <c r="C18" s="17" t="n">
        <v>571</v>
      </c>
      <c r="D18" s="17" t="n">
        <v>775</v>
      </c>
      <c r="E18" s="17" t="n">
        <v>715.164</v>
      </c>
      <c r="F18" s="17" t="n">
        <v>2892.836</v>
      </c>
      <c r="G18" s="17" t="n">
        <v>879</v>
      </c>
      <c r="H18" s="17" t="n">
        <v>1040</v>
      </c>
      <c r="I18" s="18">
        <f>I13*1000*in_prepayment_share_of_tcv</f>
        <v/>
      </c>
      <c r="J18" s="18">
        <f>J13*1000*in_prepayment_share_of_tcv</f>
        <v/>
      </c>
      <c r="K18" s="18">
        <f>K13*1000*in_prepayment_share_of_tcv</f>
        <v/>
      </c>
      <c r="L18" s="18">
        <f>L13*1000*in_prepayment_share_of_tcv</f>
        <v/>
      </c>
      <c r="M18" s="18">
        <f>M13*1000*in_prepayment_share_of_tcv</f>
        <v/>
      </c>
      <c r="N18" s="18">
        <f>N13*1000*in_prepayment_share_of_tcv</f>
        <v/>
      </c>
      <c r="O18" s="18">
        <f>O13*1000*in_prepayment_share_of_tcv</f>
        <v/>
      </c>
      <c r="P18" s="18">
        <f>P13*1000*in_prepayment_share_of_tcv</f>
        <v/>
      </c>
      <c r="Q18" s="18">
        <f>Q13*1000*in_prepayment_share_of_tcv</f>
        <v/>
      </c>
      <c r="R18" s="18">
        <f>R13*1000*in_prepayment_share_of_tcv</f>
        <v/>
      </c>
    </row>
    <row r="19">
      <c r="A19" t="inlineStr">
        <is>
          <t>Prepaid revenue recognised (non-cash)</t>
        </is>
      </c>
      <c r="B19" t="inlineStr">
        <is>
          <t>USD m</t>
        </is>
      </c>
      <c r="C19" s="17" t="n">
        <v>587</v>
      </c>
      <c r="D19" s="17" t="n">
        <v>16</v>
      </c>
      <c r="E19" s="17" t="n">
        <v>56</v>
      </c>
      <c r="F19" s="17" t="n">
        <v>121</v>
      </c>
      <c r="G19" s="17" t="n">
        <v>304</v>
      </c>
      <c r="H19" s="17" t="n">
        <v>250</v>
      </c>
      <c r="I19" s="18">
        <f>H22*in_prepaid_revenue_recognised_share_per_quarter</f>
        <v/>
      </c>
      <c r="J19" s="18">
        <f>I22*in_prepaid_revenue_recognised_share_per_quarter</f>
        <v/>
      </c>
      <c r="K19" s="18">
        <f>J22*in_prepaid_revenue_recognised_share_per_quarter</f>
        <v/>
      </c>
      <c r="L19" s="18">
        <f>K22*in_prepaid_revenue_recognised_share_per_quarter</f>
        <v/>
      </c>
      <c r="M19" s="18">
        <f>L22*in_prepaid_revenue_recognised_share_per_quarter</f>
        <v/>
      </c>
      <c r="N19" s="18">
        <f>M22*in_prepaid_revenue_recognised_share_per_quarter</f>
        <v/>
      </c>
      <c r="O19" s="18">
        <f>N22*in_prepaid_revenue_recognised_share_per_quarter</f>
        <v/>
      </c>
      <c r="P19" s="18">
        <f>O22*in_prepaid_revenue_recognised_share_per_quarter</f>
        <v/>
      </c>
      <c r="Q19" s="18">
        <f>P22*in_prepaid_revenue_recognised_share_per_quarter</f>
        <v/>
      </c>
      <c r="R19" s="18">
        <f>Q22*in_prepaid_revenue_recognised_share_per_quarter</f>
        <v/>
      </c>
    </row>
    <row r="20">
      <c r="A20" t="inlineStr">
        <is>
          <t>Change in deferred revenue (cash flow statement)</t>
        </is>
      </c>
      <c r="B20" t="inlineStr">
        <is>
          <t>USD m</t>
        </is>
      </c>
      <c r="C20" s="17" t="n">
        <v>-16</v>
      </c>
      <c r="D20" s="17" t="n">
        <v>759</v>
      </c>
      <c r="E20" s="17" t="n">
        <v>659.164</v>
      </c>
      <c r="F20" s="17" t="n">
        <v>2771.836</v>
      </c>
      <c r="G20" s="17" t="n">
        <v>575</v>
      </c>
      <c r="H20" s="17" t="n">
        <v>790</v>
      </c>
      <c r="I20" s="19">
        <f>I18-I19</f>
        <v/>
      </c>
      <c r="J20" s="19">
        <f>J18-J19</f>
        <v/>
      </c>
      <c r="K20" s="19">
        <f>K18-K19</f>
        <v/>
      </c>
      <c r="L20" s="19">
        <f>L18-L19</f>
        <v/>
      </c>
      <c r="M20" s="19">
        <f>M18-M19</f>
        <v/>
      </c>
      <c r="N20" s="19">
        <f>N18-N19</f>
        <v/>
      </c>
      <c r="O20" s="19">
        <f>O18-O19</f>
        <v/>
      </c>
      <c r="P20" s="19">
        <f>P18-P19</f>
        <v/>
      </c>
      <c r="Q20" s="19">
        <f>Q18-Q19</f>
        <v/>
      </c>
      <c r="R20" s="19">
        <f>R18-R19</f>
        <v/>
      </c>
    </row>
    <row r="21">
      <c r="A21" t="inlineStr">
        <is>
          <t>Other deferred revenue movements (plug to reported balance)</t>
        </is>
      </c>
      <c r="B21" t="inlineStr">
        <is>
          <t>USD m</t>
        </is>
      </c>
      <c r="C21" s="17" t="n">
        <v>-84</v>
      </c>
      <c r="D21" s="17" t="n">
        <v>41</v>
      </c>
      <c r="E21" s="17" t="n">
        <v>-159.164</v>
      </c>
      <c r="F21" s="17" t="n">
        <v>128.1640000000002</v>
      </c>
      <c r="G21" s="17" t="n">
        <v>-1275</v>
      </c>
      <c r="H21" s="17" t="n">
        <v>1410</v>
      </c>
      <c r="I21" s="17" t="n">
        <v>0</v>
      </c>
      <c r="J21" s="17" t="n">
        <v>0</v>
      </c>
      <c r="K21" s="17" t="n">
        <v>0</v>
      </c>
      <c r="L21" s="17" t="n">
        <v>0</v>
      </c>
      <c r="M21" s="17" t="n">
        <v>0</v>
      </c>
      <c r="N21" s="17" t="n">
        <v>0</v>
      </c>
      <c r="O21" s="17" t="n">
        <v>0</v>
      </c>
      <c r="P21" s="17" t="n">
        <v>0</v>
      </c>
      <c r="Q21" s="17" t="n">
        <v>0</v>
      </c>
      <c r="R21" s="17" t="n">
        <v>0</v>
      </c>
    </row>
    <row r="22">
      <c r="A22" t="inlineStr">
        <is>
          <t>Deferred revenue, end of quarter</t>
        </is>
      </c>
      <c r="B22" t="inlineStr">
        <is>
          <t>USD m</t>
        </is>
      </c>
      <c r="C22" s="17" t="n">
        <v>4000</v>
      </c>
      <c r="D22" s="17" t="n">
        <v>4800</v>
      </c>
      <c r="E22" s="17" t="n">
        <v>5300</v>
      </c>
      <c r="F22" s="17" t="n">
        <v>8200</v>
      </c>
      <c r="G22" s="17" t="n">
        <v>7500</v>
      </c>
      <c r="H22" s="17" t="n">
        <v>9700</v>
      </c>
      <c r="I22" s="19">
        <f>H22+I20+I21</f>
        <v/>
      </c>
      <c r="J22" s="19">
        <f>I22+J20+J21</f>
        <v/>
      </c>
      <c r="K22" s="19">
        <f>J22+K20+K21</f>
        <v/>
      </c>
      <c r="L22" s="19">
        <f>K22+L20+L21</f>
        <v/>
      </c>
      <c r="M22" s="19">
        <f>L22+M20+M21</f>
        <v/>
      </c>
      <c r="N22" s="19">
        <f>M22+N20+N21</f>
        <v/>
      </c>
      <c r="O22" s="19">
        <f>N22+O20+O21</f>
        <v/>
      </c>
      <c r="P22" s="19">
        <f>O22+P20+P21</f>
        <v/>
      </c>
      <c r="Q22" s="19">
        <f>P22+Q20+Q21</f>
        <v/>
      </c>
      <c r="R22" s="19">
        <f>Q22+R20+R21</f>
        <v/>
      </c>
    </row>
    <row r="23">
      <c r="A23" t="inlineStr">
        <is>
          <t>Receivables, end of quarter</t>
        </is>
      </c>
      <c r="B23" t="inlineStr">
        <is>
          <t>USD m</t>
        </is>
      </c>
      <c r="C23" s="17" t="n">
        <v>1055.208</v>
      </c>
      <c r="D23" s="17" t="n">
        <v>1933.698</v>
      </c>
      <c r="E23" s="17" t="n">
        <v>1659.229</v>
      </c>
      <c r="F23" s="17" t="n">
        <v>3169</v>
      </c>
      <c r="G23" s="17" t="n">
        <v>2120</v>
      </c>
      <c r="H23" s="17" t="n">
        <v>2541</v>
      </c>
      <c r="I23" s="18">
        <f>H23+(I11-H11)*in_receivables_share_of_quarterly_revenue</f>
        <v/>
      </c>
      <c r="J23" s="18">
        <f>I23+(J11-I11)*in_receivables_share_of_quarterly_revenue</f>
        <v/>
      </c>
      <c r="K23" s="18">
        <f>J23+(K11-J11)*in_receivables_share_of_quarterly_revenue</f>
        <v/>
      </c>
      <c r="L23" s="18">
        <f>K23+(L11-K11)*in_receivables_share_of_quarterly_revenue</f>
        <v/>
      </c>
      <c r="M23" s="18">
        <f>L23+(M11-L11)*in_receivables_share_of_quarterly_revenue</f>
        <v/>
      </c>
      <c r="N23" s="18">
        <f>M23+(N11-M11)*in_receivables_share_of_quarterly_revenue</f>
        <v/>
      </c>
      <c r="O23" s="18">
        <f>N23+(O11-N11)*in_receivables_share_of_quarterly_revenue</f>
        <v/>
      </c>
      <c r="P23" s="18">
        <f>O23+(P11-O11)*in_receivables_share_of_quarterly_revenue</f>
        <v/>
      </c>
      <c r="Q23" s="18">
        <f>P23+(Q11-P11)*in_receivables_share_of_quarterly_revenue</f>
        <v/>
      </c>
      <c r="R23" s="18">
        <f>Q23+(R11-Q11)*in_receivables_share_of_quarterly_revenue</f>
        <v/>
      </c>
    </row>
    <row r="24">
      <c r="A24" t="inlineStr">
        <is>
          <t>Receivables build (cash tied up in unpaid invoices)</t>
        </is>
      </c>
      <c r="B24" t="inlineStr">
        <is>
          <t>USD m</t>
        </is>
      </c>
      <c r="C24" s="17" t="n">
        <v>638.2080000000001</v>
      </c>
      <c r="D24" s="19">
        <f>D23-C23</f>
        <v/>
      </c>
      <c r="E24" s="19">
        <f>E23-D23</f>
        <v/>
      </c>
      <c r="F24" s="19">
        <f>F23-E23</f>
        <v/>
      </c>
      <c r="G24" s="19">
        <f>G23-F23</f>
        <v/>
      </c>
      <c r="H24" s="19">
        <f>H23-G23</f>
        <v/>
      </c>
      <c r="I24" s="19">
        <f>I23-H23</f>
        <v/>
      </c>
      <c r="J24" s="19">
        <f>J23-I23</f>
        <v/>
      </c>
      <c r="K24" s="19">
        <f>K23-J23</f>
        <v/>
      </c>
      <c r="L24" s="19">
        <f>L23-K23</f>
        <v/>
      </c>
      <c r="M24" s="19">
        <f>M23-L23</f>
        <v/>
      </c>
      <c r="N24" s="19">
        <f>N23-M23</f>
        <v/>
      </c>
      <c r="O24" s="19">
        <f>O23-N23</f>
        <v/>
      </c>
      <c r="P24" s="19">
        <f>P23-O23</f>
        <v/>
      </c>
      <c r="Q24" s="19">
        <f>Q23-P23</f>
        <v/>
      </c>
      <c r="R24" s="19">
        <f>R23-Q23</f>
        <v/>
      </c>
    </row>
    <row r="25">
      <c r="A25" t="inlineStr">
        <is>
          <t>Interest on debt</t>
        </is>
      </c>
      <c r="B25" t="inlineStr">
        <is>
          <t>USD m</t>
        </is>
      </c>
      <c r="C25" s="17" t="n">
        <v>257</v>
      </c>
      <c r="D25" s="17" t="n">
        <v>256</v>
      </c>
      <c r="E25" s="17" t="n">
        <v>283.416</v>
      </c>
      <c r="F25" s="17" t="n">
        <v>351.051</v>
      </c>
      <c r="G25" s="17" t="n">
        <v>427</v>
      </c>
      <c r="H25" s="17" t="n">
        <v>558</v>
      </c>
      <c r="I25" s="18">
        <f>(H31+I31)/2*in_cost_of_debt/4</f>
        <v/>
      </c>
      <c r="J25" s="18">
        <f>(I31+J31)/2*in_cost_of_debt/4</f>
        <v/>
      </c>
      <c r="K25" s="18">
        <f>(J31+K31)/2*in_cost_of_debt/4</f>
        <v/>
      </c>
      <c r="L25" s="18">
        <f>(K31+L31)/2*in_cost_of_debt/4</f>
        <v/>
      </c>
      <c r="M25" s="18">
        <f>(L31+M31)/2*in_cost_of_debt/4</f>
        <v/>
      </c>
      <c r="N25" s="18">
        <f>(M31+N31)/2*in_cost_of_debt/4</f>
        <v/>
      </c>
      <c r="O25" s="18">
        <f>(N31+O31)/2*in_cost_of_debt/4</f>
        <v/>
      </c>
      <c r="P25" s="18">
        <f>(O31+P31)/2*in_cost_of_debt/4</f>
        <v/>
      </c>
      <c r="Q25" s="18">
        <f>(P31+Q31)/2*in_cost_of_debt/4</f>
        <v/>
      </c>
      <c r="R25" s="18">
        <f>(Q31+R31)/2*in_cost_of_debt/4</f>
        <v/>
      </c>
    </row>
    <row r="26">
      <c r="A26" t="inlineStr">
        <is>
          <t>Other operating cash items</t>
        </is>
      </c>
      <c r="B26" t="inlineStr">
        <is>
          <t>USD m</t>
        </is>
      </c>
      <c r="C26" s="17" t="n">
        <v>366.0770000000001</v>
      </c>
      <c r="D26" s="17" t="n">
        <v>-628.6789999999999</v>
      </c>
      <c r="E26" s="17" t="n">
        <v>200.7099999999998</v>
      </c>
      <c r="F26" s="17" t="n">
        <v>-250.0649999999998</v>
      </c>
      <c r="G26" s="17" t="n">
        <v>630</v>
      </c>
      <c r="H26" s="17" t="n">
        <v>-642</v>
      </c>
      <c r="I26" s="18">
        <f>I11*in_other_operating_cash_share_of_revenue</f>
        <v/>
      </c>
      <c r="J26" s="18">
        <f>J11*in_other_operating_cash_share_of_revenue</f>
        <v/>
      </c>
      <c r="K26" s="18">
        <f>K11*in_other_operating_cash_share_of_revenue</f>
        <v/>
      </c>
      <c r="L26" s="18">
        <f>L11*in_other_operating_cash_share_of_revenue</f>
        <v/>
      </c>
      <c r="M26" s="18">
        <f>M11*in_other_operating_cash_share_of_revenue</f>
        <v/>
      </c>
      <c r="N26" s="18">
        <f>N11*in_other_operating_cash_share_of_revenue</f>
        <v/>
      </c>
      <c r="O26" s="18">
        <f>O11*in_other_operating_cash_share_of_revenue</f>
        <v/>
      </c>
      <c r="P26" s="18">
        <f>P11*in_other_operating_cash_share_of_revenue</f>
        <v/>
      </c>
      <c r="Q26" s="18">
        <f>Q11*in_other_operating_cash_share_of_revenue</f>
        <v/>
      </c>
      <c r="R26" s="18">
        <f>R11*in_other_operating_cash_share_of_revenue</f>
        <v/>
      </c>
    </row>
    <row r="27">
      <c r="A27" t="inlineStr">
        <is>
          <t>Cash from operations</t>
        </is>
      </c>
      <c r="B27" t="inlineStr">
        <is>
          <t>USD m</t>
        </is>
      </c>
      <c r="C27" s="17" t="n">
        <v>61</v>
      </c>
      <c r="D27" s="17" t="n">
        <v>-251</v>
      </c>
      <c r="E27" s="17" t="n">
        <v>1689.051</v>
      </c>
      <c r="F27" s="17" t="n">
        <v>1558.949</v>
      </c>
      <c r="G27" s="17" t="n">
        <v>2984</v>
      </c>
      <c r="H27" s="17" t="n">
        <v>679</v>
      </c>
      <c r="I27" s="19">
        <f>I12-I25+I20-I24+I26</f>
        <v/>
      </c>
      <c r="J27" s="19">
        <f>J12-J25+J20-J24+J26</f>
        <v/>
      </c>
      <c r="K27" s="19">
        <f>K12-K25+K20-K24+K26</f>
        <v/>
      </c>
      <c r="L27" s="19">
        <f>L12-L25+L20-L24+L26</f>
        <v/>
      </c>
      <c r="M27" s="19">
        <f>M12-M25+M20-M24+M26</f>
        <v/>
      </c>
      <c r="N27" s="19">
        <f>N12-N25+N20-N24+N26</f>
        <v/>
      </c>
      <c r="O27" s="19">
        <f>O12-O25+O20-O24+O26</f>
        <v/>
      </c>
      <c r="P27" s="19">
        <f>P12-P25+P20-P24+P26</f>
        <v/>
      </c>
      <c r="Q27" s="19">
        <f>Q12-Q25+Q20-Q24+Q26</f>
        <v/>
      </c>
      <c r="R27" s="19">
        <f>R12-R25+R20-R24+R26</f>
        <v/>
      </c>
    </row>
    <row r="28">
      <c r="A28" t="inlineStr">
        <is>
          <t>Debt repaid (scheduled principal in estimates)</t>
        </is>
      </c>
      <c r="B28" t="inlineStr">
        <is>
          <t>USD m</t>
        </is>
      </c>
      <c r="C28" s="17" t="n">
        <v>271</v>
      </c>
      <c r="D28" s="17" t="n">
        <v>1304</v>
      </c>
      <c r="E28" s="17" t="n">
        <v>1403.85</v>
      </c>
      <c r="F28" s="17" t="n">
        <v>420.15</v>
      </c>
      <c r="G28" s="17" t="n">
        <v>1335</v>
      </c>
      <c r="H28" s="17" t="n">
        <v>3884</v>
      </c>
      <c r="I28" s="17" t="n">
        <v>2206.5</v>
      </c>
      <c r="J28" s="17" t="n">
        <v>2206.5</v>
      </c>
      <c r="K28" s="17" t="n">
        <v>1546</v>
      </c>
      <c r="L28" s="17" t="n">
        <v>1546</v>
      </c>
      <c r="M28" s="17" t="n">
        <v>1546</v>
      </c>
      <c r="N28" s="17" t="n">
        <v>1546</v>
      </c>
      <c r="O28" s="17" t="n">
        <v>1104</v>
      </c>
      <c r="P28" s="17" t="n">
        <v>1104</v>
      </c>
      <c r="Q28" s="17" t="n">
        <v>1104</v>
      </c>
      <c r="R28" s="17" t="n">
        <v>1104</v>
      </c>
    </row>
    <row r="29">
      <c r="A29" t="inlineStr">
        <is>
          <t>Debt raised, gross</t>
        </is>
      </c>
      <c r="B29" t="inlineStr">
        <is>
          <t>USD m</t>
        </is>
      </c>
      <c r="C29" s="17" t="n">
        <v>785</v>
      </c>
      <c r="D29" s="17" t="n">
        <v>3611</v>
      </c>
      <c r="E29" s="17" t="n">
        <v>3166.686</v>
      </c>
      <c r="F29" s="17" t="n">
        <v>4266.314</v>
      </c>
      <c r="G29" s="17" t="n">
        <v>3290</v>
      </c>
      <c r="H29" s="17" t="n">
        <v>13457</v>
      </c>
      <c r="I29" s="18">
        <f>I15*in_debt_share_of_capex+I28</f>
        <v/>
      </c>
      <c r="J29" s="18">
        <f>J15*in_debt_share_of_capex+J28</f>
        <v/>
      </c>
      <c r="K29" s="18">
        <f>K15*in_debt_share_of_capex+K28</f>
        <v/>
      </c>
      <c r="L29" s="18">
        <f>L15*in_debt_share_of_capex+L28</f>
        <v/>
      </c>
      <c r="M29" s="18">
        <f>M15*in_debt_share_of_capex+M28</f>
        <v/>
      </c>
      <c r="N29" s="18">
        <f>N15*in_debt_share_of_capex+N28</f>
        <v/>
      </c>
      <c r="O29" s="18">
        <f>O15*in_debt_share_of_capex+O28</f>
        <v/>
      </c>
      <c r="P29" s="18">
        <f>P15*in_debt_share_of_capex+P28</f>
        <v/>
      </c>
      <c r="Q29" s="18">
        <f>Q15*in_debt_share_of_capex+Q28</f>
        <v/>
      </c>
      <c r="R29" s="18">
        <f>R15*in_debt_share_of_capex+R28</f>
        <v/>
      </c>
    </row>
    <row r="30">
      <c r="A30" t="inlineStr">
        <is>
          <t>Other debt movements (plug to reported principal)</t>
        </is>
      </c>
      <c r="B30" t="inlineStr">
        <is>
          <t>USD m</t>
        </is>
      </c>
      <c r="C30" s="17" t="n">
        <v>260.9210000000003</v>
      </c>
      <c r="D30" s="17" t="n">
        <v>56.56400000000031</v>
      </c>
      <c r="E30" s="17" t="n">
        <v>1270.946999999999</v>
      </c>
      <c r="F30" s="17" t="n">
        <v>3563.568</v>
      </c>
      <c r="G30" s="17" t="n">
        <v>1579</v>
      </c>
      <c r="H30" s="17" t="n">
        <v>829</v>
      </c>
      <c r="I30" s="17" t="n">
        <v>0</v>
      </c>
      <c r="J30" s="17" t="n">
        <v>0</v>
      </c>
      <c r="K30" s="17" t="n">
        <v>0</v>
      </c>
      <c r="L30" s="17" t="n">
        <v>0</v>
      </c>
      <c r="M30" s="17" t="n">
        <v>0</v>
      </c>
      <c r="N30" s="17" t="n">
        <v>0</v>
      </c>
      <c r="O30" s="17" t="n">
        <v>0</v>
      </c>
      <c r="P30" s="17" t="n">
        <v>0</v>
      </c>
      <c r="Q30" s="17" t="n">
        <v>0</v>
      </c>
      <c r="R30" s="17" t="n">
        <v>0</v>
      </c>
    </row>
    <row r="31">
      <c r="A31" t="inlineStr">
        <is>
          <t>Debt principal, end of quarter</t>
        </is>
      </c>
      <c r="B31" t="inlineStr">
        <is>
          <t>USD m</t>
        </is>
      </c>
      <c r="C31" s="17" t="n">
        <v>8807.921</v>
      </c>
      <c r="D31" s="17" t="n">
        <v>11171.485</v>
      </c>
      <c r="E31" s="17" t="n">
        <v>14205.268</v>
      </c>
      <c r="F31" s="17" t="n">
        <v>21615</v>
      </c>
      <c r="G31" s="17" t="n">
        <v>25149</v>
      </c>
      <c r="H31" s="17" t="n">
        <v>35551</v>
      </c>
      <c r="I31" s="19">
        <f>H31+I29-I28+I30</f>
        <v/>
      </c>
      <c r="J31" s="19">
        <f>I31+J29-J28+J30</f>
        <v/>
      </c>
      <c r="K31" s="19">
        <f>J31+K29-K28+K30</f>
        <v/>
      </c>
      <c r="L31" s="19">
        <f>K31+L29-L28+L30</f>
        <v/>
      </c>
      <c r="M31" s="19">
        <f>L31+M29-M28+M30</f>
        <v/>
      </c>
      <c r="N31" s="19">
        <f>M31+N29-N28+N30</f>
        <v/>
      </c>
      <c r="O31" s="19">
        <f>N31+O29-O28+O30</f>
        <v/>
      </c>
      <c r="P31" s="19">
        <f>O31+P29-P28+P30</f>
        <v/>
      </c>
      <c r="Q31" s="19">
        <f>P31+Q29-Q28+Q30</f>
        <v/>
      </c>
      <c r="R31" s="19">
        <f>Q31+R29-R28+R30</f>
        <v/>
      </c>
    </row>
    <row r="32">
      <c r="A32" t="inlineStr">
        <is>
          <t>Other financing and investing (plug to reported cash)</t>
        </is>
      </c>
      <c r="B32" t="inlineStr">
        <is>
          <t>USD m</t>
        </is>
      </c>
      <c r="C32" s="17" t="n">
        <v>747</v>
      </c>
      <c r="D32" s="17" t="n">
        <v>274</v>
      </c>
      <c r="E32" s="17" t="n">
        <v>-321.2490000000003</v>
      </c>
      <c r="F32" s="17" t="n">
        <v>-112.7510000000003</v>
      </c>
      <c r="G32" s="17" t="n">
        <v>1873</v>
      </c>
      <c r="H32" s="17" t="n">
        <v>-550</v>
      </c>
      <c r="I32" s="17" t="n">
        <v>0</v>
      </c>
      <c r="J32" s="17" t="n">
        <v>0</v>
      </c>
      <c r="K32" s="17" t="n">
        <v>0</v>
      </c>
      <c r="L32" s="17" t="n">
        <v>0</v>
      </c>
      <c r="M32" s="17" t="n">
        <v>0</v>
      </c>
      <c r="N32" s="17" t="n">
        <v>0</v>
      </c>
      <c r="O32" s="17" t="n">
        <v>0</v>
      </c>
      <c r="P32" s="17" t="n">
        <v>0</v>
      </c>
      <c r="Q32" s="17" t="n">
        <v>0</v>
      </c>
      <c r="R32" s="17" t="n">
        <v>0</v>
      </c>
    </row>
    <row r="33">
      <c r="A33" t="inlineStr">
        <is>
          <t>External funding required to hold minimum cash (equity-like, no interest)</t>
        </is>
      </c>
      <c r="B33" t="inlineStr">
        <is>
          <t>USD m</t>
        </is>
      </c>
      <c r="C33" s="17" t="n">
        <v>0</v>
      </c>
      <c r="D33" s="17" t="n">
        <v>0</v>
      </c>
      <c r="E33" s="17" t="n">
        <v>0</v>
      </c>
      <c r="F33" s="17" t="n">
        <v>0</v>
      </c>
      <c r="G33" s="17" t="n">
        <v>0</v>
      </c>
      <c r="H33" s="17" t="n">
        <v>0</v>
      </c>
      <c r="I33" s="18">
        <f>MAX(0,in_minimum_cash_usd_bn*1000-(H34+I27-I15+I29-I28+I32))</f>
        <v/>
      </c>
      <c r="J33" s="18">
        <f>MAX(0,in_minimum_cash_usd_bn*1000-(I34+J27-J15+J29-J28+J32))</f>
        <v/>
      </c>
      <c r="K33" s="18">
        <f>MAX(0,in_minimum_cash_usd_bn*1000-(J34+K27-K15+K29-K28+K32))</f>
        <v/>
      </c>
      <c r="L33" s="18">
        <f>MAX(0,in_minimum_cash_usd_bn*1000-(K34+L27-L15+L29-L28+L32))</f>
        <v/>
      </c>
      <c r="M33" s="18">
        <f>MAX(0,in_minimum_cash_usd_bn*1000-(L34+M27-M15+M29-M28+M32))</f>
        <v/>
      </c>
      <c r="N33" s="18">
        <f>MAX(0,in_minimum_cash_usd_bn*1000-(M34+N27-N15+N29-N28+N32))</f>
        <v/>
      </c>
      <c r="O33" s="18">
        <f>MAX(0,in_minimum_cash_usd_bn*1000-(N34+O27-O15+O29-O28+O32))</f>
        <v/>
      </c>
      <c r="P33" s="18">
        <f>MAX(0,in_minimum_cash_usd_bn*1000-(O34+P27-P15+P29-P28+P32))</f>
        <v/>
      </c>
      <c r="Q33" s="18">
        <f>MAX(0,in_minimum_cash_usd_bn*1000-(P34+Q27-Q15+Q29-Q28+Q32))</f>
        <v/>
      </c>
      <c r="R33" s="18">
        <f>MAX(0,in_minimum_cash_usd_bn*1000-(Q34+R27-R15+R29-R28+R32))</f>
        <v/>
      </c>
    </row>
    <row r="34">
      <c r="A34" t="inlineStr">
        <is>
          <t>Cash, end of quarter</t>
        </is>
      </c>
      <c r="B34" t="inlineStr">
        <is>
          <t>USD m</t>
        </is>
      </c>
      <c r="C34" s="17" t="n">
        <v>1276</v>
      </c>
      <c r="D34" s="17" t="n">
        <v>1153</v>
      </c>
      <c r="E34" s="17" t="n">
        <v>1894.399</v>
      </c>
      <c r="F34" s="17" t="n">
        <v>3127</v>
      </c>
      <c r="G34" s="17" t="n">
        <v>2244</v>
      </c>
      <c r="H34" s="17" t="n">
        <v>5524</v>
      </c>
      <c r="I34" s="19">
        <f>H34+I27-I15+I29-I28+I32+I33</f>
        <v/>
      </c>
      <c r="J34" s="19">
        <f>I34+J27-J15+J29-J28+J32+J33</f>
        <v/>
      </c>
      <c r="K34" s="19">
        <f>J34+K27-K15+K29-K28+K32+K33</f>
        <v/>
      </c>
      <c r="L34" s="19">
        <f>K34+L27-L15+L29-L28+L32+L33</f>
        <v/>
      </c>
      <c r="M34" s="19">
        <f>L34+M27-M15+M29-M28+M32+M33</f>
        <v/>
      </c>
      <c r="N34" s="19">
        <f>M34+N27-N15+N29-N28+N32+N33</f>
        <v/>
      </c>
      <c r="O34" s="19">
        <f>N34+O27-O15+O29-O28+O32+O33</f>
        <v/>
      </c>
      <c r="P34" s="19">
        <f>O34+P27-P15+P29-P28+P32+P33</f>
        <v/>
      </c>
      <c r="Q34" s="19">
        <f>P34+Q27-Q15+Q29-Q28+Q32+Q33</f>
        <v/>
      </c>
      <c r="R34" s="19">
        <f>Q34+R27-R15+R29-R28+R32+R33</f>
        <v/>
      </c>
    </row>
    <row r="35">
      <c r="A35" t="inlineStr">
        <is>
          <t>Capital recovery factor (share of price due each year)</t>
        </is>
      </c>
      <c r="B35" t="inlineStr">
        <is>
          <t>ratio</t>
        </is>
      </c>
      <c r="C35" s="15">
        <f>IF(in_financing_rate=0,1/in_depreciation_years,in_financing_rate/(1-(1+in_financing_rate)^-in_depreciation_years))</f>
        <v/>
      </c>
      <c r="D35" s="15">
        <f>IF(in_financing_rate=0,1/in_depreciation_years,in_financing_rate/(1-(1+in_financing_rate)^-in_depreciation_years))</f>
        <v/>
      </c>
      <c r="E35" s="15">
        <f>IF(in_financing_rate=0,1/in_depreciation_years,in_financing_rate/(1-(1+in_financing_rate)^-in_depreciation_years))</f>
        <v/>
      </c>
      <c r="F35" s="15">
        <f>IF(in_financing_rate=0,1/in_depreciation_years,in_financing_rate/(1-(1+in_financing_rate)^-in_depreciation_years))</f>
        <v/>
      </c>
      <c r="G35" s="15">
        <f>IF(in_financing_rate=0,1/in_depreciation_years,in_financing_rate/(1-(1+in_financing_rate)^-in_depreciation_years))</f>
        <v/>
      </c>
      <c r="H35" s="15">
        <f>IF(in_financing_rate=0,1/in_depreciation_years,in_financing_rate/(1-(1+in_financing_rate)^-in_depreciation_years))</f>
        <v/>
      </c>
      <c r="I35" s="15">
        <f>IF(in_financing_rate=0,1/in_depreciation_years,in_financing_rate/(1-(1+in_financing_rate)^-in_depreciation_years))</f>
        <v/>
      </c>
      <c r="J35" s="15">
        <f>IF(in_financing_rate=0,1/in_depreciation_years,in_financing_rate/(1-(1+in_financing_rate)^-in_depreciation_years))</f>
        <v/>
      </c>
      <c r="K35" s="15">
        <f>IF(in_financing_rate=0,1/in_depreciation_years,in_financing_rate/(1-(1+in_financing_rate)^-in_depreciation_years))</f>
        <v/>
      </c>
      <c r="L35" s="15">
        <f>IF(in_financing_rate=0,1/in_depreciation_years,in_financing_rate/(1-(1+in_financing_rate)^-in_depreciation_years))</f>
        <v/>
      </c>
      <c r="M35" s="15">
        <f>IF(in_financing_rate=0,1/in_depreciation_years,in_financing_rate/(1-(1+in_financing_rate)^-in_depreciation_years))</f>
        <v/>
      </c>
      <c r="N35" s="15">
        <f>IF(in_financing_rate=0,1/in_depreciation_years,in_financing_rate/(1-(1+in_financing_rate)^-in_depreciation_years))</f>
        <v/>
      </c>
      <c r="O35" s="15">
        <f>IF(in_financing_rate=0,1/in_depreciation_years,in_financing_rate/(1-(1+in_financing_rate)^-in_depreciation_years))</f>
        <v/>
      </c>
      <c r="P35" s="15">
        <f>IF(in_financing_rate=0,1/in_depreciation_years,in_financing_rate/(1-(1+in_financing_rate)^-in_depreciation_years))</f>
        <v/>
      </c>
      <c r="Q35" s="15">
        <f>IF(in_financing_rate=0,1/in_depreciation_years,in_financing_rate/(1-(1+in_financing_rate)^-in_depreciation_years))</f>
        <v/>
      </c>
      <c r="R35" s="15">
        <f>IF(in_financing_rate=0,1/in_depreciation_years,in_financing_rate/(1-(1+in_financing_rate)^-in_depreciation_years))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0" t="inlineStr">
        <is>
          <t>Line item</t>
        </is>
      </c>
      <c r="B1" s="10" t="inlineStr">
        <is>
          <t>Unit</t>
        </is>
      </c>
      <c r="C1" s="13" t="inlineStr">
        <is>
          <t>2025Q1A</t>
        </is>
      </c>
      <c r="D1" s="13" t="inlineStr">
        <is>
          <t>2025Q2A</t>
        </is>
      </c>
      <c r="E1" s="13" t="inlineStr">
        <is>
          <t>2025Q3A</t>
        </is>
      </c>
      <c r="F1" s="13" t="inlineStr">
        <is>
          <t>2025Q4A</t>
        </is>
      </c>
      <c r="G1" s="13" t="inlineStr">
        <is>
          <t>2026Q1A</t>
        </is>
      </c>
      <c r="H1" s="13" t="inlineStr">
        <is>
          <t>2026Q2A</t>
        </is>
      </c>
      <c r="I1" s="13" t="inlineStr">
        <is>
          <t>2026Q3E</t>
        </is>
      </c>
      <c r="J1" s="13" t="inlineStr">
        <is>
          <t>2026Q4E</t>
        </is>
      </c>
      <c r="K1" s="13" t="inlineStr">
        <is>
          <t>2027Q1E</t>
        </is>
      </c>
      <c r="L1" s="13" t="inlineStr">
        <is>
          <t>2027Q2E</t>
        </is>
      </c>
      <c r="M1" s="13" t="inlineStr">
        <is>
          <t>2027Q3E</t>
        </is>
      </c>
      <c r="N1" s="13" t="inlineStr">
        <is>
          <t>2027Q4E</t>
        </is>
      </c>
      <c r="O1" s="13" t="inlineStr">
        <is>
          <t>2028Q1E</t>
        </is>
      </c>
      <c r="P1" s="13" t="inlineStr">
        <is>
          <t>2028Q2E</t>
        </is>
      </c>
      <c r="Q1" s="13" t="inlineStr">
        <is>
          <t>2028Q3E</t>
        </is>
      </c>
      <c r="R1" s="13" t="inlineStr">
        <is>
          <t>2028Q4E</t>
        </is>
      </c>
    </row>
    <row r="2">
      <c r="A2" t="inlineStr">
        <is>
          <t>Revenue per MW, annualised</t>
        </is>
      </c>
      <c r="B2" t="inlineStr">
        <is>
          <t>USD m</t>
        </is>
      </c>
      <c r="C2" s="18">
        <f>Drivers!C11*4/Drivers!C4</f>
        <v/>
      </c>
      <c r="D2" s="18">
        <f>Drivers!D11*4/Drivers!D4</f>
        <v/>
      </c>
      <c r="E2" s="18">
        <f>Drivers!E11*4/Drivers!E4</f>
        <v/>
      </c>
      <c r="F2" s="18">
        <f>Drivers!F11*4/Drivers!F4</f>
        <v/>
      </c>
      <c r="G2" s="18">
        <f>Drivers!G11*4/Drivers!G4</f>
        <v/>
      </c>
      <c r="H2" s="18">
        <f>Drivers!H11*4/Drivers!H4</f>
        <v/>
      </c>
      <c r="I2" s="18">
        <f>Drivers!I11*4/Drivers!I4</f>
        <v/>
      </c>
      <c r="J2" s="18">
        <f>Drivers!J11*4/Drivers!J4</f>
        <v/>
      </c>
      <c r="K2" s="18">
        <f>Drivers!K11*4/Drivers!K4</f>
        <v/>
      </c>
      <c r="L2" s="18">
        <f>Drivers!L11*4/Drivers!L4</f>
        <v/>
      </c>
      <c r="M2" s="18">
        <f>Drivers!M11*4/Drivers!M4</f>
        <v/>
      </c>
      <c r="N2" s="18">
        <f>Drivers!N11*4/Drivers!N4</f>
        <v/>
      </c>
      <c r="O2" s="18">
        <f>Drivers!O11*4/Drivers!O4</f>
        <v/>
      </c>
      <c r="P2" s="18">
        <f>Drivers!P11*4/Drivers!P4</f>
        <v/>
      </c>
      <c r="Q2" s="18">
        <f>Drivers!Q11*4/Drivers!Q4</f>
        <v/>
      </c>
      <c r="R2" s="18">
        <f>Drivers!R11*4/Drivers!R4</f>
        <v/>
      </c>
    </row>
    <row r="3">
      <c r="A3" t="inlineStr">
        <is>
          <t>Adjusted EBITDA per MW, annualised</t>
        </is>
      </c>
      <c r="B3" t="inlineStr">
        <is>
          <t>USD m</t>
        </is>
      </c>
      <c r="C3" s="18">
        <f>Drivers!C12*4/Drivers!C4</f>
        <v/>
      </c>
      <c r="D3" s="18">
        <f>Drivers!D12*4/Drivers!D4</f>
        <v/>
      </c>
      <c r="E3" s="18">
        <f>Drivers!E12*4/Drivers!E4</f>
        <v/>
      </c>
      <c r="F3" s="18">
        <f>Drivers!F12*4/Drivers!F4</f>
        <v/>
      </c>
      <c r="G3" s="18">
        <f>Drivers!G12*4/Drivers!G4</f>
        <v/>
      </c>
      <c r="H3" s="18">
        <f>Drivers!H12*4/Drivers!H4</f>
        <v/>
      </c>
      <c r="I3" s="18">
        <f>Drivers!I12*4/Drivers!I4</f>
        <v/>
      </c>
      <c r="J3" s="18">
        <f>Drivers!J12*4/Drivers!J4</f>
        <v/>
      </c>
      <c r="K3" s="18">
        <f>Drivers!K12*4/Drivers!K4</f>
        <v/>
      </c>
      <c r="L3" s="18">
        <f>Drivers!L12*4/Drivers!L4</f>
        <v/>
      </c>
      <c r="M3" s="18">
        <f>Drivers!M12*4/Drivers!M4</f>
        <v/>
      </c>
      <c r="N3" s="18">
        <f>Drivers!N12*4/Drivers!N4</f>
        <v/>
      </c>
      <c r="O3" s="18">
        <f>Drivers!O12*4/Drivers!O4</f>
        <v/>
      </c>
      <c r="P3" s="18">
        <f>Drivers!P12*4/Drivers!P4</f>
        <v/>
      </c>
      <c r="Q3" s="18">
        <f>Drivers!Q12*4/Drivers!Q4</f>
        <v/>
      </c>
      <c r="R3" s="18">
        <f>Drivers!R12*4/Drivers!R4</f>
        <v/>
      </c>
    </row>
    <row r="4">
      <c r="A4" t="inlineStr">
        <is>
          <t>Adjusted EBITDA margin</t>
        </is>
      </c>
      <c r="B4" t="inlineStr">
        <is>
          <t>%</t>
        </is>
      </c>
      <c r="C4" s="20">
        <f>Drivers!C12/Drivers!C11</f>
        <v/>
      </c>
      <c r="D4" s="20">
        <f>Drivers!D12/Drivers!D11</f>
        <v/>
      </c>
      <c r="E4" s="20">
        <f>Drivers!E12/Drivers!E11</f>
        <v/>
      </c>
      <c r="F4" s="20">
        <f>Drivers!F12/Drivers!F11</f>
        <v/>
      </c>
      <c r="G4" s="20">
        <f>Drivers!G12/Drivers!G11</f>
        <v/>
      </c>
      <c r="H4" s="20">
        <f>Drivers!H12/Drivers!H11</f>
        <v/>
      </c>
      <c r="I4" s="20">
        <f>Drivers!I12/Drivers!I11</f>
        <v/>
      </c>
      <c r="J4" s="20">
        <f>Drivers!J12/Drivers!J11</f>
        <v/>
      </c>
      <c r="K4" s="20">
        <f>Drivers!K12/Drivers!K11</f>
        <v/>
      </c>
      <c r="L4" s="20">
        <f>Drivers!L12/Drivers!L11</f>
        <v/>
      </c>
      <c r="M4" s="20">
        <f>Drivers!M12/Drivers!M11</f>
        <v/>
      </c>
      <c r="N4" s="20">
        <f>Drivers!N12/Drivers!N11</f>
        <v/>
      </c>
      <c r="O4" s="20">
        <f>Drivers!O12/Drivers!O11</f>
        <v/>
      </c>
      <c r="P4" s="20">
        <f>Drivers!P12/Drivers!P11</f>
        <v/>
      </c>
      <c r="Q4" s="20">
        <f>Drivers!Q12/Drivers!Q11</f>
        <v/>
      </c>
      <c r="R4" s="20">
        <f>Drivers!R12/Drivers!R11</f>
        <v/>
      </c>
    </row>
    <row r="5">
      <c r="A5" t="inlineStr">
        <is>
          <t>Capex per MW added, cumulative since 2025Q1</t>
        </is>
      </c>
      <c r="B5" t="inlineStr">
        <is>
          <t>USD m</t>
        </is>
      </c>
      <c r="C5" s="18">
        <f>Drivers!C16/Drivers!C17</f>
        <v/>
      </c>
      <c r="D5" s="18">
        <f>Drivers!D16/Drivers!D17</f>
        <v/>
      </c>
      <c r="E5" s="18">
        <f>Drivers!E16/Drivers!E17</f>
        <v/>
      </c>
      <c r="F5" s="18">
        <f>Drivers!F16/Drivers!F17</f>
        <v/>
      </c>
      <c r="G5" s="18">
        <f>Drivers!G16/Drivers!G17</f>
        <v/>
      </c>
      <c r="H5" s="18">
        <f>Drivers!H16/Drivers!H17</f>
        <v/>
      </c>
      <c r="I5" s="18">
        <f>Drivers!I16/Drivers!I17</f>
        <v/>
      </c>
      <c r="J5" s="18">
        <f>Drivers!J16/Drivers!J17</f>
        <v/>
      </c>
      <c r="K5" s="18">
        <f>Drivers!K16/Drivers!K17</f>
        <v/>
      </c>
      <c r="L5" s="18">
        <f>Drivers!L16/Drivers!L17</f>
        <v/>
      </c>
      <c r="M5" s="18">
        <f>Drivers!M16/Drivers!M17</f>
        <v/>
      </c>
      <c r="N5" s="18">
        <f>Drivers!N16/Drivers!N17</f>
        <v/>
      </c>
      <c r="O5" s="18">
        <f>Drivers!O16/Drivers!O17</f>
        <v/>
      </c>
      <c r="P5" s="18">
        <f>Drivers!P16/Drivers!P17</f>
        <v/>
      </c>
      <c r="Q5" s="18">
        <f>Drivers!Q16/Drivers!Q17</f>
        <v/>
      </c>
      <c r="R5" s="18">
        <f>Drivers!R16/Drivers!R17</f>
        <v/>
      </c>
    </row>
    <row r="6">
      <c r="A6" t="inlineStr">
        <is>
          <t>Capex per GPU added (capex per MW x kW per GPU)</t>
        </is>
      </c>
      <c r="B6" t="inlineStr">
        <is>
          <t>USD</t>
        </is>
      </c>
      <c r="C6" s="18">
        <f>C5*1000*in_power_draw_kw</f>
        <v/>
      </c>
      <c r="D6" s="18">
        <f>D5*1000*in_power_draw_kw</f>
        <v/>
      </c>
      <c r="E6" s="18">
        <f>E5*1000*in_power_draw_kw</f>
        <v/>
      </c>
      <c r="F6" s="18">
        <f>F5*1000*in_power_draw_kw</f>
        <v/>
      </c>
      <c r="G6" s="18">
        <f>G5*1000*in_power_draw_kw</f>
        <v/>
      </c>
      <c r="H6" s="18">
        <f>H5*1000*in_power_draw_kw</f>
        <v/>
      </c>
      <c r="I6" s="18">
        <f>I5*1000*in_power_draw_kw</f>
        <v/>
      </c>
      <c r="J6" s="18">
        <f>J5*1000*in_power_draw_kw</f>
        <v/>
      </c>
      <c r="K6" s="18">
        <f>K5*1000*in_power_draw_kw</f>
        <v/>
      </c>
      <c r="L6" s="18">
        <f>L5*1000*in_power_draw_kw</f>
        <v/>
      </c>
      <c r="M6" s="18">
        <f>M5*1000*in_power_draw_kw</f>
        <v/>
      </c>
      <c r="N6" s="18">
        <f>N5*1000*in_power_draw_kw</f>
        <v/>
      </c>
      <c r="O6" s="18">
        <f>O5*1000*in_power_draw_kw</f>
        <v/>
      </c>
      <c r="P6" s="18">
        <f>P5*1000*in_power_draw_kw</f>
        <v/>
      </c>
      <c r="Q6" s="18">
        <f>Q5*1000*in_power_draw_kw</f>
        <v/>
      </c>
      <c r="R6" s="18">
        <f>R5*1000*in_power_draw_kw</f>
        <v/>
      </c>
    </row>
    <row r="7">
      <c r="A7" t="inlineStr">
        <is>
          <t>Payback per MW: capex per MW / EBITDA per MW</t>
        </is>
      </c>
      <c r="B7" t="inlineStr">
        <is>
          <t>years</t>
        </is>
      </c>
      <c r="C7" s="16">
        <f>C5/C3</f>
        <v/>
      </c>
      <c r="D7" s="16">
        <f>D5/D3</f>
        <v/>
      </c>
      <c r="E7" s="16">
        <f>E5/E3</f>
        <v/>
      </c>
      <c r="F7" s="16">
        <f>F5/F3</f>
        <v/>
      </c>
      <c r="G7" s="16">
        <f>G5/G3</f>
        <v/>
      </c>
      <c r="H7" s="16">
        <f>H5/H3</f>
        <v/>
      </c>
      <c r="I7" s="16">
        <f>I5/I3</f>
        <v/>
      </c>
      <c r="J7" s="16">
        <f>J5/J3</f>
        <v/>
      </c>
      <c r="K7" s="16">
        <f>K5/K3</f>
        <v/>
      </c>
      <c r="L7" s="16">
        <f>L5/L3</f>
        <v/>
      </c>
      <c r="M7" s="16">
        <f>M5/M3</f>
        <v/>
      </c>
      <c r="N7" s="16">
        <f>N5/N3</f>
        <v/>
      </c>
      <c r="O7" s="16">
        <f>O5/O3</f>
        <v/>
      </c>
      <c r="P7" s="16">
        <f>P5/P3</f>
        <v/>
      </c>
      <c r="Q7" s="16">
        <f>Q5/Q3</f>
        <v/>
      </c>
      <c r="R7" s="16">
        <f>R5/R3</f>
        <v/>
      </c>
    </row>
    <row r="8">
      <c r="A8" t="inlineStr">
        <is>
          <t>Backlog, years of annualised current revenue</t>
        </is>
      </c>
      <c r="B8" t="inlineStr">
        <is>
          <t>years</t>
        </is>
      </c>
      <c r="C8" s="15">
        <f>Drivers!C14*1000/(Drivers!C11*4)</f>
        <v/>
      </c>
      <c r="D8" s="15">
        <f>Drivers!D14*1000/(Drivers!D11*4)</f>
        <v/>
      </c>
      <c r="E8" s="15">
        <f>Drivers!E14*1000/(Drivers!E11*4)</f>
        <v/>
      </c>
      <c r="F8" s="15">
        <f>Drivers!F14*1000/(Drivers!F11*4)</f>
        <v/>
      </c>
      <c r="G8" s="15">
        <f>Drivers!G14*1000/(Drivers!G11*4)</f>
        <v/>
      </c>
      <c r="H8" s="15">
        <f>Drivers!H14*1000/(Drivers!H11*4)</f>
        <v/>
      </c>
      <c r="I8" s="15">
        <f>Drivers!I14*1000/(Drivers!I11*4)</f>
        <v/>
      </c>
      <c r="J8" s="15">
        <f>Drivers!J14*1000/(Drivers!J11*4)</f>
        <v/>
      </c>
      <c r="K8" s="15">
        <f>Drivers!K14*1000/(Drivers!K11*4)</f>
        <v/>
      </c>
      <c r="L8" s="15">
        <f>Drivers!L14*1000/(Drivers!L11*4)</f>
        <v/>
      </c>
      <c r="M8" s="15">
        <f>Drivers!M14*1000/(Drivers!M11*4)</f>
        <v/>
      </c>
      <c r="N8" s="15">
        <f>Drivers!N14*1000/(Drivers!N11*4)</f>
        <v/>
      </c>
      <c r="O8" s="15">
        <f>Drivers!O14*1000/(Drivers!O11*4)</f>
        <v/>
      </c>
      <c r="P8" s="15">
        <f>Drivers!P14*1000/(Drivers!P11*4)</f>
        <v/>
      </c>
      <c r="Q8" s="15">
        <f>Drivers!Q14*1000/(Drivers!Q11*4)</f>
        <v/>
      </c>
      <c r="R8" s="15">
        <f>Drivers!R14*1000/(Drivers!R11*4)</f>
        <v/>
      </c>
    </row>
    <row r="9">
      <c r="A9" t="inlineStr">
        <is>
          <t>Revenue per installed GPU-hour</t>
        </is>
      </c>
      <c r="B9" t="inlineStr">
        <is>
          <t>USD/GPU-hour</t>
        </is>
      </c>
      <c r="C9" s="15">
        <f>Drivers!C11/Drivers!C10</f>
        <v/>
      </c>
      <c r="D9" s="15">
        <f>Drivers!D11/Drivers!D10</f>
        <v/>
      </c>
      <c r="E9" s="15">
        <f>Drivers!E11/Drivers!E10</f>
        <v/>
      </c>
      <c r="F9" s="15">
        <f>Drivers!F11/Drivers!F10</f>
        <v/>
      </c>
      <c r="G9" s="15">
        <f>Drivers!G11/Drivers!G10</f>
        <v/>
      </c>
      <c r="H9" s="15">
        <f>Drivers!H11/Drivers!H10</f>
        <v/>
      </c>
      <c r="I9" s="15">
        <f>Drivers!I11/Drivers!I10</f>
        <v/>
      </c>
      <c r="J9" s="15">
        <f>Drivers!J11/Drivers!J10</f>
        <v/>
      </c>
      <c r="K9" s="15">
        <f>Drivers!K11/Drivers!K10</f>
        <v/>
      </c>
      <c r="L9" s="15">
        <f>Drivers!L11/Drivers!L10</f>
        <v/>
      </c>
      <c r="M9" s="15">
        <f>Drivers!M11/Drivers!M10</f>
        <v/>
      </c>
      <c r="N9" s="15">
        <f>Drivers!N11/Drivers!N10</f>
        <v/>
      </c>
      <c r="O9" s="15">
        <f>Drivers!O11/Drivers!O10</f>
        <v/>
      </c>
      <c r="P9" s="15">
        <f>Drivers!P11/Drivers!P10</f>
        <v/>
      </c>
      <c r="Q9" s="15">
        <f>Drivers!Q11/Drivers!Q10</f>
        <v/>
      </c>
      <c r="R9" s="15">
        <f>Drivers!R11/Drivers!R10</f>
        <v/>
      </c>
    </row>
    <row r="10">
      <c r="A10" t="inlineStr">
        <is>
          <t>Cash cost per installed GPU-hour</t>
        </is>
      </c>
      <c r="B10" t="inlineStr">
        <is>
          <t>USD/GPU-hour</t>
        </is>
      </c>
      <c r="C10" s="15">
        <f>(Drivers!C11-Drivers!C12)/Drivers!C10</f>
        <v/>
      </c>
      <c r="D10" s="15">
        <f>(Drivers!D11-Drivers!D12)/Drivers!D10</f>
        <v/>
      </c>
      <c r="E10" s="15">
        <f>(Drivers!E11-Drivers!E12)/Drivers!E10</f>
        <v/>
      </c>
      <c r="F10" s="15">
        <f>(Drivers!F11-Drivers!F12)/Drivers!F10</f>
        <v/>
      </c>
      <c r="G10" s="15">
        <f>(Drivers!G11-Drivers!G12)/Drivers!G10</f>
        <v/>
      </c>
      <c r="H10" s="15">
        <f>(Drivers!H11-Drivers!H12)/Drivers!H10</f>
        <v/>
      </c>
      <c r="I10" s="15">
        <f>(Drivers!I11-Drivers!I12)/Drivers!I10</f>
        <v/>
      </c>
      <c r="J10" s="15">
        <f>(Drivers!J11-Drivers!J12)/Drivers!J10</f>
        <v/>
      </c>
      <c r="K10" s="15">
        <f>(Drivers!K11-Drivers!K12)/Drivers!K10</f>
        <v/>
      </c>
      <c r="L10" s="15">
        <f>(Drivers!L11-Drivers!L12)/Drivers!L10</f>
        <v/>
      </c>
      <c r="M10" s="15">
        <f>(Drivers!M11-Drivers!M12)/Drivers!M10</f>
        <v/>
      </c>
      <c r="N10" s="15">
        <f>(Drivers!N11-Drivers!N12)/Drivers!N10</f>
        <v/>
      </c>
      <c r="O10" s="15">
        <f>(Drivers!O11-Drivers!O12)/Drivers!O10</f>
        <v/>
      </c>
      <c r="P10" s="15">
        <f>(Drivers!P11-Drivers!P12)/Drivers!P10</f>
        <v/>
      </c>
      <c r="Q10" s="15">
        <f>(Drivers!Q11-Drivers!Q12)/Drivers!Q10</f>
        <v/>
      </c>
      <c r="R10" s="15">
        <f>(Drivers!R11-Drivers!R12)/Drivers!R10</f>
        <v/>
      </c>
    </row>
    <row r="11">
      <c r="A11" t="inlineStr">
        <is>
          <t>Cash margin per installed GPU-hour</t>
        </is>
      </c>
      <c r="B11" t="inlineStr">
        <is>
          <t>USD/GPU-hour</t>
        </is>
      </c>
      <c r="C11" s="16">
        <f>C9-C10</f>
        <v/>
      </c>
      <c r="D11" s="16">
        <f>D9-D10</f>
        <v/>
      </c>
      <c r="E11" s="16">
        <f>E9-E10</f>
        <v/>
      </c>
      <c r="F11" s="16">
        <f>F9-F10</f>
        <v/>
      </c>
      <c r="G11" s="16">
        <f>G9-G10</f>
        <v/>
      </c>
      <c r="H11" s="16">
        <f>H9-H10</f>
        <v/>
      </c>
      <c r="I11" s="16">
        <f>I9-I10</f>
        <v/>
      </c>
      <c r="J11" s="16">
        <f>J9-J10</f>
        <v/>
      </c>
      <c r="K11" s="16">
        <f>K9-K10</f>
        <v/>
      </c>
      <c r="L11" s="16">
        <f>L9-L10</f>
        <v/>
      </c>
      <c r="M11" s="16">
        <f>M9-M10</f>
        <v/>
      </c>
      <c r="N11" s="16">
        <f>N9-N10</f>
        <v/>
      </c>
      <c r="O11" s="16">
        <f>O9-O10</f>
        <v/>
      </c>
      <c r="P11" s="16">
        <f>P9-P10</f>
        <v/>
      </c>
      <c r="Q11" s="16">
        <f>Q9-Q10</f>
        <v/>
      </c>
      <c r="R11" s="16">
        <f>R9-R10</f>
        <v/>
      </c>
    </row>
    <row r="12">
      <c r="A12" t="inlineStr">
        <is>
          <t>Capital charge per installed GPU-hour</t>
        </is>
      </c>
      <c r="B12" t="inlineStr">
        <is>
          <t>USD/GPU-hour</t>
        </is>
      </c>
      <c r="C12" s="15">
        <f>in_chip_cost*(1-in_residual_value_share/(1+in_financing_rate)^in_depreciation_years)*Drivers!C35/8760</f>
        <v/>
      </c>
      <c r="D12" s="15">
        <f>in_chip_cost*(1-in_residual_value_share/(1+in_financing_rate)^in_depreciation_years)*Drivers!D35/8760</f>
        <v/>
      </c>
      <c r="E12" s="15">
        <f>in_chip_cost*(1-in_residual_value_share/(1+in_financing_rate)^in_depreciation_years)*Drivers!E35/8760</f>
        <v/>
      </c>
      <c r="F12" s="15">
        <f>in_chip_cost*(1-in_residual_value_share/(1+in_financing_rate)^in_depreciation_years)*Drivers!F35/8760</f>
        <v/>
      </c>
      <c r="G12" s="15">
        <f>in_chip_cost*(1-in_residual_value_share/(1+in_financing_rate)^in_depreciation_years)*Drivers!G35/8760</f>
        <v/>
      </c>
      <c r="H12" s="15">
        <f>in_chip_cost*(1-in_residual_value_share/(1+in_financing_rate)^in_depreciation_years)*Drivers!H35/8760</f>
        <v/>
      </c>
      <c r="I12" s="15">
        <f>in_chip_cost*(1-in_residual_value_share/(1+in_financing_rate)^in_depreciation_years)*Drivers!I35/8760</f>
        <v/>
      </c>
      <c r="J12" s="15">
        <f>in_chip_cost*(1-in_residual_value_share/(1+in_financing_rate)^in_depreciation_years)*Drivers!J35/8760</f>
        <v/>
      </c>
      <c r="K12" s="15">
        <f>in_chip_cost*(1-in_residual_value_share/(1+in_financing_rate)^in_depreciation_years)*Drivers!K35/8760</f>
        <v/>
      </c>
      <c r="L12" s="15">
        <f>in_chip_cost*(1-in_residual_value_share/(1+in_financing_rate)^in_depreciation_years)*Drivers!L35/8760</f>
        <v/>
      </c>
      <c r="M12" s="15">
        <f>in_chip_cost*(1-in_residual_value_share/(1+in_financing_rate)^in_depreciation_years)*Drivers!M35/8760</f>
        <v/>
      </c>
      <c r="N12" s="15">
        <f>in_chip_cost*(1-in_residual_value_share/(1+in_financing_rate)^in_depreciation_years)*Drivers!N35/8760</f>
        <v/>
      </c>
      <c r="O12" s="15">
        <f>in_chip_cost*(1-in_residual_value_share/(1+in_financing_rate)^in_depreciation_years)*Drivers!O35/8760</f>
        <v/>
      </c>
      <c r="P12" s="15">
        <f>in_chip_cost*(1-in_residual_value_share/(1+in_financing_rate)^in_depreciation_years)*Drivers!P35/8760</f>
        <v/>
      </c>
      <c r="Q12" s="15">
        <f>in_chip_cost*(1-in_residual_value_share/(1+in_financing_rate)^in_depreciation_years)*Drivers!Q35/8760</f>
        <v/>
      </c>
      <c r="R12" s="15">
        <f>in_chip_cost*(1-in_residual_value_share/(1+in_financing_rate)^in_depreciation_years)*Drivers!R35/8760</f>
        <v/>
      </c>
    </row>
    <row r="13">
      <c r="A13" t="inlineStr">
        <is>
          <t>Fully loaded margin per installed GPU-hour</t>
        </is>
      </c>
      <c r="B13" t="inlineStr">
        <is>
          <t>USD/GPU-hour</t>
        </is>
      </c>
      <c r="C13" s="16">
        <f>C11-C12</f>
        <v/>
      </c>
      <c r="D13" s="16">
        <f>D11-D12</f>
        <v/>
      </c>
      <c r="E13" s="16">
        <f>E11-E12</f>
        <v/>
      </c>
      <c r="F13" s="16">
        <f>F11-F12</f>
        <v/>
      </c>
      <c r="G13" s="16">
        <f>G11-G12</f>
        <v/>
      </c>
      <c r="H13" s="16">
        <f>H11-H12</f>
        <v/>
      </c>
      <c r="I13" s="16">
        <f>I11-I12</f>
        <v/>
      </c>
      <c r="J13" s="16">
        <f>J11-J12</f>
        <v/>
      </c>
      <c r="K13" s="16">
        <f>K11-K12</f>
        <v/>
      </c>
      <c r="L13" s="16">
        <f>L11-L12</f>
        <v/>
      </c>
      <c r="M13" s="16">
        <f>M11-M12</f>
        <v/>
      </c>
      <c r="N13" s="16">
        <f>N11-N12</f>
        <v/>
      </c>
      <c r="O13" s="16">
        <f>O11-O12</f>
        <v/>
      </c>
      <c r="P13" s="16">
        <f>P11-P12</f>
        <v/>
      </c>
      <c r="Q13" s="16">
        <f>Q11-Q12</f>
        <v/>
      </c>
      <c r="R13" s="16">
        <f>R11-R12</f>
        <v/>
      </c>
    </row>
    <row r="14">
      <c r="A14" t="inlineStr">
        <is>
          <t>Contract value per GPU (rate x hours x term)</t>
        </is>
      </c>
      <c r="B14" t="inlineStr">
        <is>
          <t>USD</t>
        </is>
      </c>
      <c r="C14" s="18">
        <f>C9*8760*in_contract_years</f>
        <v/>
      </c>
      <c r="D14" s="18">
        <f>D9*8760*in_contract_years</f>
        <v/>
      </c>
      <c r="E14" s="18">
        <f>E9*8760*in_contract_years</f>
        <v/>
      </c>
      <c r="F14" s="18">
        <f>F9*8760*in_contract_years</f>
        <v/>
      </c>
      <c r="G14" s="18">
        <f>G9*8760*in_contract_years</f>
        <v/>
      </c>
      <c r="H14" s="18">
        <f>H9*8760*in_contract_years</f>
        <v/>
      </c>
      <c r="I14" s="18">
        <f>I9*8760*in_contract_years</f>
        <v/>
      </c>
      <c r="J14" s="18">
        <f>J9*8760*in_contract_years</f>
        <v/>
      </c>
      <c r="K14" s="18">
        <f>K9*8760*in_contract_years</f>
        <v/>
      </c>
      <c r="L14" s="18">
        <f>L9*8760*in_contract_years</f>
        <v/>
      </c>
      <c r="M14" s="18">
        <f>M9*8760*in_contract_years</f>
        <v/>
      </c>
      <c r="N14" s="18">
        <f>N9*8760*in_contract_years</f>
        <v/>
      </c>
      <c r="O14" s="18">
        <f>O9*8760*in_contract_years</f>
        <v/>
      </c>
      <c r="P14" s="18">
        <f>P9*8760*in_contract_years</f>
        <v/>
      </c>
      <c r="Q14" s="18">
        <f>Q9*8760*in_contract_years</f>
        <v/>
      </c>
      <c r="R14" s="18">
        <f>R9*8760*in_contract_years</f>
        <v/>
      </c>
    </row>
    <row r="15">
      <c r="A15" t="inlineStr">
        <is>
          <t>Prepayment per GPU</t>
        </is>
      </c>
      <c r="B15" t="inlineStr">
        <is>
          <t>USD</t>
        </is>
      </c>
      <c r="C15" s="18">
        <f>C14*in_prepayment_share_of_tcv</f>
        <v/>
      </c>
      <c r="D15" s="18">
        <f>D14*in_prepayment_share_of_tcv</f>
        <v/>
      </c>
      <c r="E15" s="18">
        <f>E14*in_prepayment_share_of_tcv</f>
        <v/>
      </c>
      <c r="F15" s="18">
        <f>F14*in_prepayment_share_of_tcv</f>
        <v/>
      </c>
      <c r="G15" s="18">
        <f>G14*in_prepayment_share_of_tcv</f>
        <v/>
      </c>
      <c r="H15" s="18">
        <f>H14*in_prepayment_share_of_tcv</f>
        <v/>
      </c>
      <c r="I15" s="18">
        <f>I14*in_prepayment_share_of_tcv</f>
        <v/>
      </c>
      <c r="J15" s="18">
        <f>J14*in_prepayment_share_of_tcv</f>
        <v/>
      </c>
      <c r="K15" s="18">
        <f>K14*in_prepayment_share_of_tcv</f>
        <v/>
      </c>
      <c r="L15" s="18">
        <f>L14*in_prepayment_share_of_tcv</f>
        <v/>
      </c>
      <c r="M15" s="18">
        <f>M14*in_prepayment_share_of_tcv</f>
        <v/>
      </c>
      <c r="N15" s="18">
        <f>N14*in_prepayment_share_of_tcv</f>
        <v/>
      </c>
      <c r="O15" s="18">
        <f>O14*in_prepayment_share_of_tcv</f>
        <v/>
      </c>
      <c r="P15" s="18">
        <f>P14*in_prepayment_share_of_tcv</f>
        <v/>
      </c>
      <c r="Q15" s="18">
        <f>Q14*in_prepayment_share_of_tcv</f>
        <v/>
      </c>
      <c r="R15" s="18">
        <f>R14*in_prepayment_share_of_tcv</f>
        <v/>
      </c>
    </row>
    <row r="16">
      <c r="A16" t="inlineStr">
        <is>
          <t>Payback per GPU, gross of prepayment</t>
        </is>
      </c>
      <c r="B16" t="inlineStr">
        <is>
          <t>years</t>
        </is>
      </c>
      <c r="C16" s="15">
        <f>IF(C11&gt;0,in_chip_cost/(C11*8760),"never")</f>
        <v/>
      </c>
      <c r="D16" s="15">
        <f>IF(D11&gt;0,in_chip_cost/(D11*8760),"never")</f>
        <v/>
      </c>
      <c r="E16" s="15">
        <f>IF(E11&gt;0,in_chip_cost/(E11*8760),"never")</f>
        <v/>
      </c>
      <c r="F16" s="15">
        <f>IF(F11&gt;0,in_chip_cost/(F11*8760),"never")</f>
        <v/>
      </c>
      <c r="G16" s="15">
        <f>IF(G11&gt;0,in_chip_cost/(G11*8760),"never")</f>
        <v/>
      </c>
      <c r="H16" s="15">
        <f>IF(H11&gt;0,in_chip_cost/(H11*8760),"never")</f>
        <v/>
      </c>
      <c r="I16" s="15">
        <f>IF(I11&gt;0,in_chip_cost/(I11*8760),"never")</f>
        <v/>
      </c>
      <c r="J16" s="15">
        <f>IF(J11&gt;0,in_chip_cost/(J11*8760),"never")</f>
        <v/>
      </c>
      <c r="K16" s="15">
        <f>IF(K11&gt;0,in_chip_cost/(K11*8760),"never")</f>
        <v/>
      </c>
      <c r="L16" s="15">
        <f>IF(L11&gt;0,in_chip_cost/(L11*8760),"never")</f>
        <v/>
      </c>
      <c r="M16" s="15">
        <f>IF(M11&gt;0,in_chip_cost/(M11*8760),"never")</f>
        <v/>
      </c>
      <c r="N16" s="15">
        <f>IF(N11&gt;0,in_chip_cost/(N11*8760),"never")</f>
        <v/>
      </c>
      <c r="O16" s="15">
        <f>IF(O11&gt;0,in_chip_cost/(O11*8760),"never")</f>
        <v/>
      </c>
      <c r="P16" s="15">
        <f>IF(P11&gt;0,in_chip_cost/(P11*8760),"never")</f>
        <v/>
      </c>
      <c r="Q16" s="15">
        <f>IF(Q11&gt;0,in_chip_cost/(Q11*8760),"never")</f>
        <v/>
      </c>
      <c r="R16" s="15">
        <f>IF(R11&gt;0,in_chip_cost/(R11*8760),"never")</f>
        <v/>
      </c>
    </row>
    <row r="17">
      <c r="A17" t="inlineStr">
        <is>
          <t>Payback per GPU, net of prepayment (company's definition)</t>
        </is>
      </c>
      <c r="B17" t="inlineStr">
        <is>
          <t>years</t>
        </is>
      </c>
      <c r="C17" s="15">
        <f>IF(C11&gt;0,(in_chip_cost-C15)/(C11*8760),"never")</f>
        <v/>
      </c>
      <c r="D17" s="15">
        <f>IF(D11&gt;0,(in_chip_cost-D15)/(D11*8760),"never")</f>
        <v/>
      </c>
      <c r="E17" s="15">
        <f>IF(E11&gt;0,(in_chip_cost-E15)/(E11*8760),"never")</f>
        <v/>
      </c>
      <c r="F17" s="15">
        <f>IF(F11&gt;0,(in_chip_cost-F15)/(F11*8760),"never")</f>
        <v/>
      </c>
      <c r="G17" s="15">
        <f>IF(G11&gt;0,(in_chip_cost-G15)/(G11*8760),"never")</f>
        <v/>
      </c>
      <c r="H17" s="15">
        <f>IF(H11&gt;0,(in_chip_cost-H15)/(H11*8760),"never")</f>
        <v/>
      </c>
      <c r="I17" s="15">
        <f>IF(I11&gt;0,(in_chip_cost-I15)/(I11*8760),"never")</f>
        <v/>
      </c>
      <c r="J17" s="15">
        <f>IF(J11&gt;0,(in_chip_cost-J15)/(J11*8760),"never")</f>
        <v/>
      </c>
      <c r="K17" s="15">
        <f>IF(K11&gt;0,(in_chip_cost-K15)/(K11*8760),"never")</f>
        <v/>
      </c>
      <c r="L17" s="15">
        <f>IF(L11&gt;0,(in_chip_cost-L15)/(L11*8760),"never")</f>
        <v/>
      </c>
      <c r="M17" s="15">
        <f>IF(M11&gt;0,(in_chip_cost-M15)/(M11*8760),"never")</f>
        <v/>
      </c>
      <c r="N17" s="15">
        <f>IF(N11&gt;0,(in_chip_cost-N15)/(N11*8760),"never")</f>
        <v/>
      </c>
      <c r="O17" s="15">
        <f>IF(O11&gt;0,(in_chip_cost-O15)/(O11*8760),"never")</f>
        <v/>
      </c>
      <c r="P17" s="15">
        <f>IF(P11&gt;0,(in_chip_cost-P15)/(P11*8760),"never")</f>
        <v/>
      </c>
      <c r="Q17" s="15">
        <f>IF(Q11&gt;0,(in_chip_cost-Q15)/(Q11*8760),"never")</f>
        <v/>
      </c>
      <c r="R17" s="15">
        <f>IF(R11&gt;0,(in_chip_cost-R15)/(R11*8760),"never")</f>
        <v/>
      </c>
    </row>
    <row r="18">
      <c r="A18" t="inlineStr">
        <is>
          <t>Payback per GPU, strict cash timing (prepayment credited at contract end)</t>
        </is>
      </c>
      <c r="B18" t="inlineStr">
        <is>
          <t>years</t>
        </is>
      </c>
      <c r="C18" s="15">
        <f>IF(C11&lt;=0,"never",IF((in_chip_cost-C15)/(C11*8760)&lt;=in_contract_years-MIN(in_contract_years,C15/(C9*8760)),(in_chip_cost-C15)/(C11*8760),in_contract_years+(in_chip_cost-C15-C11*8760*(in_contract_years-MIN(in_contract_years,C15/(C9*8760)))+C10*8760*MIN(in_contract_years,C15/(C9*8760)))/(C11*8760)))</f>
        <v/>
      </c>
      <c r="D18" s="15">
        <f>IF(D11&lt;=0,"never",IF((in_chip_cost-D15)/(D11*8760)&lt;=in_contract_years-MIN(in_contract_years,D15/(D9*8760)),(in_chip_cost-D15)/(D11*8760),in_contract_years+(in_chip_cost-D15-D11*8760*(in_contract_years-MIN(in_contract_years,D15/(D9*8760)))+D10*8760*MIN(in_contract_years,D15/(D9*8760)))/(D11*8760)))</f>
        <v/>
      </c>
      <c r="E18" s="15">
        <f>IF(E11&lt;=0,"never",IF((in_chip_cost-E15)/(E11*8760)&lt;=in_contract_years-MIN(in_contract_years,E15/(E9*8760)),(in_chip_cost-E15)/(E11*8760),in_contract_years+(in_chip_cost-E15-E11*8760*(in_contract_years-MIN(in_contract_years,E15/(E9*8760)))+E10*8760*MIN(in_contract_years,E15/(E9*8760)))/(E11*8760)))</f>
        <v/>
      </c>
      <c r="F18" s="15">
        <f>IF(F11&lt;=0,"never",IF((in_chip_cost-F15)/(F11*8760)&lt;=in_contract_years-MIN(in_contract_years,F15/(F9*8760)),(in_chip_cost-F15)/(F11*8760),in_contract_years+(in_chip_cost-F15-F11*8760*(in_contract_years-MIN(in_contract_years,F15/(F9*8760)))+F10*8760*MIN(in_contract_years,F15/(F9*8760)))/(F11*8760)))</f>
        <v/>
      </c>
      <c r="G18" s="15">
        <f>IF(G11&lt;=0,"never",IF((in_chip_cost-G15)/(G11*8760)&lt;=in_contract_years-MIN(in_contract_years,G15/(G9*8760)),(in_chip_cost-G15)/(G11*8760),in_contract_years+(in_chip_cost-G15-G11*8760*(in_contract_years-MIN(in_contract_years,G15/(G9*8760)))+G10*8760*MIN(in_contract_years,G15/(G9*8760)))/(G11*8760)))</f>
        <v/>
      </c>
      <c r="H18" s="15">
        <f>IF(H11&lt;=0,"never",IF((in_chip_cost-H15)/(H11*8760)&lt;=in_contract_years-MIN(in_contract_years,H15/(H9*8760)),(in_chip_cost-H15)/(H11*8760),in_contract_years+(in_chip_cost-H15-H11*8760*(in_contract_years-MIN(in_contract_years,H15/(H9*8760)))+H10*8760*MIN(in_contract_years,H15/(H9*8760)))/(H11*8760)))</f>
        <v/>
      </c>
      <c r="I18" s="15">
        <f>IF(I11&lt;=0,"never",IF((in_chip_cost-I15)/(I11*8760)&lt;=in_contract_years-MIN(in_contract_years,I15/(I9*8760)),(in_chip_cost-I15)/(I11*8760),in_contract_years+(in_chip_cost-I15-I11*8760*(in_contract_years-MIN(in_contract_years,I15/(I9*8760)))+I10*8760*MIN(in_contract_years,I15/(I9*8760)))/(I11*8760)))</f>
        <v/>
      </c>
      <c r="J18" s="15">
        <f>IF(J11&lt;=0,"never",IF((in_chip_cost-J15)/(J11*8760)&lt;=in_contract_years-MIN(in_contract_years,J15/(J9*8760)),(in_chip_cost-J15)/(J11*8760),in_contract_years+(in_chip_cost-J15-J11*8760*(in_contract_years-MIN(in_contract_years,J15/(J9*8760)))+J10*8760*MIN(in_contract_years,J15/(J9*8760)))/(J11*8760)))</f>
        <v/>
      </c>
      <c r="K18" s="15">
        <f>IF(K11&lt;=0,"never",IF((in_chip_cost-K15)/(K11*8760)&lt;=in_contract_years-MIN(in_contract_years,K15/(K9*8760)),(in_chip_cost-K15)/(K11*8760),in_contract_years+(in_chip_cost-K15-K11*8760*(in_contract_years-MIN(in_contract_years,K15/(K9*8760)))+K10*8760*MIN(in_contract_years,K15/(K9*8760)))/(K11*8760)))</f>
        <v/>
      </c>
      <c r="L18" s="15">
        <f>IF(L11&lt;=0,"never",IF((in_chip_cost-L15)/(L11*8760)&lt;=in_contract_years-MIN(in_contract_years,L15/(L9*8760)),(in_chip_cost-L15)/(L11*8760),in_contract_years+(in_chip_cost-L15-L11*8760*(in_contract_years-MIN(in_contract_years,L15/(L9*8760)))+L10*8760*MIN(in_contract_years,L15/(L9*8760)))/(L11*8760)))</f>
        <v/>
      </c>
      <c r="M18" s="15">
        <f>IF(M11&lt;=0,"never",IF((in_chip_cost-M15)/(M11*8760)&lt;=in_contract_years-MIN(in_contract_years,M15/(M9*8760)),(in_chip_cost-M15)/(M11*8760),in_contract_years+(in_chip_cost-M15-M11*8760*(in_contract_years-MIN(in_contract_years,M15/(M9*8760)))+M10*8760*MIN(in_contract_years,M15/(M9*8760)))/(M11*8760)))</f>
        <v/>
      </c>
      <c r="N18" s="15">
        <f>IF(N11&lt;=0,"never",IF((in_chip_cost-N15)/(N11*8760)&lt;=in_contract_years-MIN(in_contract_years,N15/(N9*8760)),(in_chip_cost-N15)/(N11*8760),in_contract_years+(in_chip_cost-N15-N11*8760*(in_contract_years-MIN(in_contract_years,N15/(N9*8760)))+N10*8760*MIN(in_contract_years,N15/(N9*8760)))/(N11*8760)))</f>
        <v/>
      </c>
      <c r="O18" s="15">
        <f>IF(O11&lt;=0,"never",IF((in_chip_cost-O15)/(O11*8760)&lt;=in_contract_years-MIN(in_contract_years,O15/(O9*8760)),(in_chip_cost-O15)/(O11*8760),in_contract_years+(in_chip_cost-O15-O11*8760*(in_contract_years-MIN(in_contract_years,O15/(O9*8760)))+O10*8760*MIN(in_contract_years,O15/(O9*8760)))/(O11*8760)))</f>
        <v/>
      </c>
      <c r="P18" s="15">
        <f>IF(P11&lt;=0,"never",IF((in_chip_cost-P15)/(P11*8760)&lt;=in_contract_years-MIN(in_contract_years,P15/(P9*8760)),(in_chip_cost-P15)/(P11*8760),in_contract_years+(in_chip_cost-P15-P11*8760*(in_contract_years-MIN(in_contract_years,P15/(P9*8760)))+P10*8760*MIN(in_contract_years,P15/(P9*8760)))/(P11*8760)))</f>
        <v/>
      </c>
      <c r="Q18" s="15">
        <f>IF(Q11&lt;=0,"never",IF((in_chip_cost-Q15)/(Q11*8760)&lt;=in_contract_years-MIN(in_contract_years,Q15/(Q9*8760)),(in_chip_cost-Q15)/(Q11*8760),in_contract_years+(in_chip_cost-Q15-Q11*8760*(in_contract_years-MIN(in_contract_years,Q15/(Q9*8760)))+Q10*8760*MIN(in_contract_years,Q15/(Q9*8760)))/(Q11*8760)))</f>
        <v/>
      </c>
      <c r="R18" s="15">
        <f>IF(R11&lt;=0,"never",IF((in_chip_cost-R15)/(R11*8760)&lt;=in_contract_years-MIN(in_contract_years,R15/(R9*8760)),(in_chip_cost-R15)/(R11*8760),in_contract_years+(in_chip_cost-R15-R11*8760*(in_contract_years-MIN(in_contract_years,R15/(R9*8760)))+R10*8760*MIN(in_contract_years,R15/(R9*8760)))/(R11*8760)))</f>
        <v/>
      </c>
    </row>
    <row r="19">
      <c r="A19" t="inlineStr">
        <is>
          <t>Payback, as disclosed by the company</t>
        </is>
      </c>
      <c r="B19" t="inlineStr">
        <is>
          <t>years</t>
        </is>
      </c>
      <c r="C19" s="15">
        <f>in_disclosed_cash_payback_years</f>
        <v/>
      </c>
      <c r="D19" s="15">
        <f>in_disclosed_cash_payback_years</f>
        <v/>
      </c>
      <c r="E19" s="15">
        <f>in_disclosed_cash_payback_years</f>
        <v/>
      </c>
      <c r="F19" s="15">
        <f>in_disclosed_cash_payback_years</f>
        <v/>
      </c>
      <c r="G19" s="15">
        <f>in_disclosed_cash_payback_years</f>
        <v/>
      </c>
      <c r="H19" s="15">
        <f>in_disclosed_cash_payback_years</f>
        <v/>
      </c>
      <c r="I19" s="15">
        <f>in_disclosed_cash_payback_years</f>
        <v/>
      </c>
      <c r="J19" s="15">
        <f>in_disclosed_cash_payback_years</f>
        <v/>
      </c>
      <c r="K19" s="15">
        <f>in_disclosed_cash_payback_years</f>
        <v/>
      </c>
      <c r="L19" s="15">
        <f>in_disclosed_cash_payback_years</f>
        <v/>
      </c>
      <c r="M19" s="15">
        <f>in_disclosed_cash_payback_years</f>
        <v/>
      </c>
      <c r="N19" s="15">
        <f>in_disclosed_cash_payback_years</f>
        <v/>
      </c>
      <c r="O19" s="15">
        <f>in_disclosed_cash_payback_years</f>
        <v/>
      </c>
      <c r="P19" s="15">
        <f>in_disclosed_cash_payback_years</f>
        <v/>
      </c>
      <c r="Q19" s="15">
        <f>in_disclosed_cash_payback_years</f>
        <v/>
      </c>
      <c r="R19" s="15">
        <f>in_disclosed_cash_payback_years</f>
        <v/>
      </c>
    </row>
    <row r="20">
      <c r="A20" t="inlineStr">
        <is>
          <t>Free cash flow (CFO less capex)</t>
        </is>
      </c>
      <c r="B20" t="inlineStr">
        <is>
          <t>USD m</t>
        </is>
      </c>
      <c r="C20" s="18">
        <f>Drivers!C27-Drivers!C15</f>
        <v/>
      </c>
      <c r="D20" s="18">
        <f>Drivers!D27-Drivers!D15</f>
        <v/>
      </c>
      <c r="E20" s="18">
        <f>Drivers!E27-Drivers!E15</f>
        <v/>
      </c>
      <c r="F20" s="18">
        <f>Drivers!F27-Drivers!F15</f>
        <v/>
      </c>
      <c r="G20" s="18">
        <f>Drivers!G27-Drivers!G15</f>
        <v/>
      </c>
      <c r="H20" s="18">
        <f>Drivers!H27-Drivers!H15</f>
        <v/>
      </c>
      <c r="I20" s="18">
        <f>Drivers!I27-Drivers!I15</f>
        <v/>
      </c>
      <c r="J20" s="18">
        <f>Drivers!J27-Drivers!J15</f>
        <v/>
      </c>
      <c r="K20" s="18">
        <f>Drivers!K27-Drivers!K15</f>
        <v/>
      </c>
      <c r="L20" s="18">
        <f>Drivers!L27-Drivers!L15</f>
        <v/>
      </c>
      <c r="M20" s="18">
        <f>Drivers!M27-Drivers!M15</f>
        <v/>
      </c>
      <c r="N20" s="18">
        <f>Drivers!N27-Drivers!N15</f>
        <v/>
      </c>
      <c r="O20" s="18">
        <f>Drivers!O27-Drivers!O15</f>
        <v/>
      </c>
      <c r="P20" s="18">
        <f>Drivers!P27-Drivers!P15</f>
        <v/>
      </c>
      <c r="Q20" s="18">
        <f>Drivers!Q27-Drivers!Q15</f>
        <v/>
      </c>
      <c r="R20" s="18">
        <f>Drivers!R27-Drivers!R15</f>
        <v/>
      </c>
    </row>
    <row r="21">
      <c r="A21" t="inlineStr">
        <is>
          <t>Net debt</t>
        </is>
      </c>
      <c r="B21" t="inlineStr">
        <is>
          <t>USD m</t>
        </is>
      </c>
      <c r="C21" s="18">
        <f>Drivers!C31-Drivers!C34</f>
        <v/>
      </c>
      <c r="D21" s="18">
        <f>Drivers!D31-Drivers!D34</f>
        <v/>
      </c>
      <c r="E21" s="18">
        <f>Drivers!E31-Drivers!E34</f>
        <v/>
      </c>
      <c r="F21" s="18">
        <f>Drivers!F31-Drivers!F34</f>
        <v/>
      </c>
      <c r="G21" s="18">
        <f>Drivers!G31-Drivers!G34</f>
        <v/>
      </c>
      <c r="H21" s="18">
        <f>Drivers!H31-Drivers!H34</f>
        <v/>
      </c>
      <c r="I21" s="18">
        <f>Drivers!I31-Drivers!I34</f>
        <v/>
      </c>
      <c r="J21" s="18">
        <f>Drivers!J31-Drivers!J34</f>
        <v/>
      </c>
      <c r="K21" s="18">
        <f>Drivers!K31-Drivers!K34</f>
        <v/>
      </c>
      <c r="L21" s="18">
        <f>Drivers!L31-Drivers!L34</f>
        <v/>
      </c>
      <c r="M21" s="18">
        <f>Drivers!M31-Drivers!M34</f>
        <v/>
      </c>
      <c r="N21" s="18">
        <f>Drivers!N31-Drivers!N34</f>
        <v/>
      </c>
      <c r="O21" s="18">
        <f>Drivers!O31-Drivers!O34</f>
        <v/>
      </c>
      <c r="P21" s="18">
        <f>Drivers!P31-Drivers!P34</f>
        <v/>
      </c>
      <c r="Q21" s="18">
        <f>Drivers!Q31-Drivers!Q34</f>
        <v/>
      </c>
      <c r="R21" s="18">
        <f>Drivers!R31-Drivers!R34</f>
        <v/>
      </c>
    </row>
    <row r="22">
      <c r="A22" t="inlineStr">
        <is>
          <t>Net debt / annualised adjusted EBITDA</t>
        </is>
      </c>
      <c r="B22" t="inlineStr">
        <is>
          <t>x</t>
        </is>
      </c>
      <c r="C22" s="15">
        <f>C21/(Drivers!C12*4)</f>
        <v/>
      </c>
      <c r="D22" s="15">
        <f>D21/(Drivers!D12*4)</f>
        <v/>
      </c>
      <c r="E22" s="15">
        <f>E21/(Drivers!E12*4)</f>
        <v/>
      </c>
      <c r="F22" s="15">
        <f>F21/(Drivers!F12*4)</f>
        <v/>
      </c>
      <c r="G22" s="15">
        <f>G21/(Drivers!G12*4)</f>
        <v/>
      </c>
      <c r="H22" s="15">
        <f>H21/(Drivers!H12*4)</f>
        <v/>
      </c>
      <c r="I22" s="15">
        <f>I21/(Drivers!I12*4)</f>
        <v/>
      </c>
      <c r="J22" s="15">
        <f>J21/(Drivers!J12*4)</f>
        <v/>
      </c>
      <c r="K22" s="15">
        <f>K21/(Drivers!K12*4)</f>
        <v/>
      </c>
      <c r="L22" s="15">
        <f>L21/(Drivers!L12*4)</f>
        <v/>
      </c>
      <c r="M22" s="15">
        <f>M21/(Drivers!M12*4)</f>
        <v/>
      </c>
      <c r="N22" s="15">
        <f>N21/(Drivers!N12*4)</f>
        <v/>
      </c>
      <c r="O22" s="15">
        <f>O21/(Drivers!O12*4)</f>
        <v/>
      </c>
      <c r="P22" s="15">
        <f>P21/(Drivers!P12*4)</f>
        <v/>
      </c>
      <c r="Q22" s="15">
        <f>Q21/(Drivers!Q12*4)</f>
        <v/>
      </c>
      <c r="R22" s="15">
        <f>R21/(Drivers!R12*4)</f>
        <v/>
      </c>
    </row>
    <row r="23">
      <c r="A23" t="inlineStr">
        <is>
          <t>Adjusted EBITDA / interest on debt</t>
        </is>
      </c>
      <c r="B23" t="inlineStr">
        <is>
          <t>x</t>
        </is>
      </c>
      <c r="C23" s="15">
        <f>Drivers!C12/Drivers!C25</f>
        <v/>
      </c>
      <c r="D23" s="15">
        <f>Drivers!D12/Drivers!D25</f>
        <v/>
      </c>
      <c r="E23" s="15">
        <f>Drivers!E12/Drivers!E25</f>
        <v/>
      </c>
      <c r="F23" s="15">
        <f>Drivers!F12/Drivers!F25</f>
        <v/>
      </c>
      <c r="G23" s="15">
        <f>Drivers!G12/Drivers!G25</f>
        <v/>
      </c>
      <c r="H23" s="15">
        <f>Drivers!H12/Drivers!H25</f>
        <v/>
      </c>
      <c r="I23" s="15">
        <f>Drivers!I12/Drivers!I25</f>
        <v/>
      </c>
      <c r="J23" s="15">
        <f>Drivers!J12/Drivers!J25</f>
        <v/>
      </c>
      <c r="K23" s="15">
        <f>Drivers!K12/Drivers!K25</f>
        <v/>
      </c>
      <c r="L23" s="15">
        <f>Drivers!L12/Drivers!L25</f>
        <v/>
      </c>
      <c r="M23" s="15">
        <f>Drivers!M12/Drivers!M25</f>
        <v/>
      </c>
      <c r="N23" s="15">
        <f>Drivers!N12/Drivers!N25</f>
        <v/>
      </c>
      <c r="O23" s="15">
        <f>Drivers!O12/Drivers!O25</f>
        <v/>
      </c>
      <c r="P23" s="15">
        <f>Drivers!P12/Drivers!P25</f>
        <v/>
      </c>
      <c r="Q23" s="15">
        <f>Drivers!Q12/Drivers!Q25</f>
        <v/>
      </c>
      <c r="R23" s="15">
        <f>Drivers!R12/Drivers!R25</f>
        <v/>
      </c>
    </row>
    <row r="24">
      <c r="A24" t="inlineStr">
        <is>
          <t>External funding required, cumulative over estimate quarters</t>
        </is>
      </c>
      <c r="B24" t="inlineStr">
        <is>
          <t>USD m</t>
        </is>
      </c>
      <c r="C24" s="17" t="n">
        <v>0</v>
      </c>
      <c r="D24" s="18">
        <f>C24+Drivers!D33</f>
        <v/>
      </c>
      <c r="E24" s="18">
        <f>D24+Drivers!E33</f>
        <v/>
      </c>
      <c r="F24" s="18">
        <f>E24+Drivers!F33</f>
        <v/>
      </c>
      <c r="G24" s="18">
        <f>F24+Drivers!G33</f>
        <v/>
      </c>
      <c r="H24" s="18">
        <f>G24+Drivers!H33</f>
        <v/>
      </c>
      <c r="I24" s="18">
        <f>H24+Drivers!I33</f>
        <v/>
      </c>
      <c r="J24" s="18">
        <f>I24+Drivers!J33</f>
        <v/>
      </c>
      <c r="K24" s="18">
        <f>J24+Drivers!K33</f>
        <v/>
      </c>
      <c r="L24" s="18">
        <f>K24+Drivers!L33</f>
        <v/>
      </c>
      <c r="M24" s="18">
        <f>L24+Drivers!M33</f>
        <v/>
      </c>
      <c r="N24" s="18">
        <f>M24+Drivers!N33</f>
        <v/>
      </c>
      <c r="O24" s="18">
        <f>N24+Drivers!O33</f>
        <v/>
      </c>
      <c r="P24" s="18">
        <f>O24+Drivers!P33</f>
        <v/>
      </c>
      <c r="Q24" s="18">
        <f>P24+Drivers!Q33</f>
        <v/>
      </c>
      <c r="R24" s="18">
        <f>Q24+Drivers!R33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0" t="inlineStr">
        <is>
          <t>period</t>
        </is>
      </c>
      <c r="B1" s="10" t="inlineStr">
        <is>
          <t>kpi</t>
        </is>
      </c>
      <c r="C1" s="10" t="inlineStr">
        <is>
          <t>value</t>
        </is>
      </c>
      <c r="D1" s="10" t="inlineStr">
        <is>
          <t>unit</t>
        </is>
      </c>
      <c r="E1" s="10" t="inlineStr">
        <is>
          <t>qualifier</t>
        </is>
      </c>
      <c r="F1" s="10" t="inlineStr">
        <is>
          <t>form</t>
        </is>
      </c>
      <c r="G1" s="10" t="inlineStr">
        <is>
          <t>filed</t>
        </is>
      </c>
      <c r="H1" s="10" t="inlineStr">
        <is>
          <t>accession</t>
        </is>
      </c>
      <c r="I1" s="10" t="inlineStr">
        <is>
          <t>page</t>
        </is>
      </c>
      <c r="J1" s="10" t="inlineStr">
        <is>
          <t>url</t>
        </is>
      </c>
    </row>
    <row r="2">
      <c r="A2" t="inlineStr">
        <is>
          <t>2023Q4</t>
        </is>
      </c>
      <c r="B2" t="inlineStr">
        <is>
          <t>active_power_mw</t>
        </is>
      </c>
      <c r="C2" t="n">
        <v>70</v>
      </c>
      <c r="D2" t="inlineStr">
        <is>
          <t>MW</t>
        </is>
      </c>
      <c r="E2" t="inlineStr">
        <is>
          <t>approximately</t>
        </is>
      </c>
      <c r="F2" t="inlineStr">
        <is>
          <t>10-K</t>
        </is>
      </c>
      <c r="G2" t="inlineStr">
        <is>
          <t>2026-03-02</t>
        </is>
      </c>
      <c r="H2" t="inlineStr">
        <is>
          <t>0001769628-26-000104</t>
        </is>
      </c>
      <c r="I2" t="inlineStr">
        <is>
          <t>5</t>
        </is>
      </c>
      <c r="J2" t="inlineStr">
        <is>
          <t>https://www.sec.gov/Archives/edgar/data/1769628/000176962826000104/crwv-20251231.htm</t>
        </is>
      </c>
    </row>
    <row r="3">
      <c r="A3" t="inlineStr">
        <is>
          <t>2024Q4</t>
        </is>
      </c>
      <c r="B3" t="inlineStr">
        <is>
          <t>active_power_mw</t>
        </is>
      </c>
      <c r="C3" t="n">
        <v>360</v>
      </c>
      <c r="D3" t="inlineStr">
        <is>
          <t>MW</t>
        </is>
      </c>
      <c r="E3" t="inlineStr">
        <is>
          <t>approximately</t>
        </is>
      </c>
      <c r="F3" t="inlineStr">
        <is>
          <t>10-K</t>
        </is>
      </c>
      <c r="G3" t="inlineStr">
        <is>
          <t>2026-03-02</t>
        </is>
      </c>
      <c r="H3" t="inlineStr">
        <is>
          <t>0001769628-26-000104</t>
        </is>
      </c>
      <c r="I3" t="inlineStr">
        <is>
          <t>5</t>
        </is>
      </c>
      <c r="J3" t="inlineStr">
        <is>
          <t>https://www.sec.gov/Archives/edgar/data/1769628/000176962826000104/crwv-20251231.htm</t>
        </is>
      </c>
    </row>
    <row r="4">
      <c r="A4" t="inlineStr">
        <is>
          <t>2025Q1</t>
        </is>
      </c>
      <c r="B4" t="inlineStr">
        <is>
          <t>active_power_mw</t>
        </is>
      </c>
      <c r="C4" t="n">
        <v>420</v>
      </c>
      <c r="D4" t="inlineStr">
        <is>
          <t>MW</t>
        </is>
      </c>
      <c r="E4" t="inlineStr">
        <is>
          <t>approximately</t>
        </is>
      </c>
      <c r="F4" t="inlineStr">
        <is>
          <t>8-K EX-99.1</t>
        </is>
      </c>
      <c r="G4" t="inlineStr">
        <is>
          <t>2025-05-14</t>
        </is>
      </c>
      <c r="H4" t="inlineStr">
        <is>
          <t>0001769628-25-000010</t>
        </is>
      </c>
      <c r="I4" t="inlineStr"/>
      <c r="J4" t="inlineStr">
        <is>
          <t>https://www.sec.gov/Archives/edgar/data/1769628/000176962825000010/coreweave1q25earningspress.htm</t>
        </is>
      </c>
    </row>
    <row r="5">
      <c r="A5" t="inlineStr">
        <is>
          <t>2025Q2</t>
        </is>
      </c>
      <c r="B5" t="inlineStr">
        <is>
          <t>active_power_mw</t>
        </is>
      </c>
      <c r="C5" t="n">
        <v>470</v>
      </c>
      <c r="D5" t="inlineStr">
        <is>
          <t>MW</t>
        </is>
      </c>
      <c r="E5" t="inlineStr">
        <is>
          <t>approximately</t>
        </is>
      </c>
      <c r="F5" t="inlineStr">
        <is>
          <t>8-K EX-99.1</t>
        </is>
      </c>
      <c r="G5" t="inlineStr">
        <is>
          <t>2025-08-12</t>
        </is>
      </c>
      <c r="H5" t="inlineStr">
        <is>
          <t>0001769628-25-000039</t>
        </is>
      </c>
      <c r="I5" t="inlineStr"/>
      <c r="J5" t="inlineStr">
        <is>
          <t>https://www.sec.gov/Archives/edgar/data/1769628/000176962825000039/coreweave2q25earningspress.htm</t>
        </is>
      </c>
    </row>
    <row r="6">
      <c r="A6" t="inlineStr">
        <is>
          <t>2025Q3</t>
        </is>
      </c>
      <c r="B6" t="inlineStr">
        <is>
          <t>active_power_mw</t>
        </is>
      </c>
      <c r="C6" t="n">
        <v>590</v>
      </c>
      <c r="D6" t="inlineStr">
        <is>
          <t>MW</t>
        </is>
      </c>
      <c r="E6" t="inlineStr">
        <is>
          <t>approximately</t>
        </is>
      </c>
      <c r="F6" t="inlineStr">
        <is>
          <t>8-K EX-99.1</t>
        </is>
      </c>
      <c r="G6" t="inlineStr">
        <is>
          <t>2025-11-10</t>
        </is>
      </c>
      <c r="H6" t="inlineStr">
        <is>
          <t>0001769628-25-000059</t>
        </is>
      </c>
      <c r="I6" t="inlineStr"/>
      <c r="J6" t="inlineStr">
        <is>
          <t>https://www.sec.gov/Archives/edgar/data/1769628/000176962825000059/coreweave3q25earningspress.htm</t>
        </is>
      </c>
    </row>
    <row r="7">
      <c r="A7" t="inlineStr">
        <is>
          <t>2025Q4</t>
        </is>
      </c>
      <c r="B7" t="inlineStr">
        <is>
          <t>active_power_mw</t>
        </is>
      </c>
      <c r="C7" t="n">
        <v>850</v>
      </c>
      <c r="D7" t="inlineStr">
        <is>
          <t>MW</t>
        </is>
      </c>
      <c r="E7" t="inlineStr">
        <is>
          <t>more than</t>
        </is>
      </c>
      <c r="F7" t="inlineStr">
        <is>
          <t>8-K EX-99.1</t>
        </is>
      </c>
      <c r="G7" t="inlineStr">
        <is>
          <t>2026-02-26</t>
        </is>
      </c>
      <c r="H7" t="inlineStr">
        <is>
          <t>0001769628-26-000094</t>
        </is>
      </c>
      <c r="I7" t="inlineStr"/>
      <c r="J7" t="inlineStr">
        <is>
          <t>https://www.sec.gov/Archives/edgar/data/1769628/000176962826000094/coreweave4q25earningspress.htm</t>
        </is>
      </c>
    </row>
    <row r="8">
      <c r="A8" t="inlineStr">
        <is>
          <t>2026Q1</t>
        </is>
      </c>
      <c r="B8" t="inlineStr">
        <is>
          <t>active_power_mw</t>
        </is>
      </c>
      <c r="C8" t="n">
        <v>1000</v>
      </c>
      <c r="D8" t="inlineStr">
        <is>
          <t>MW</t>
        </is>
      </c>
      <c r="E8" t="inlineStr">
        <is>
          <t>more than</t>
        </is>
      </c>
      <c r="F8" t="inlineStr">
        <is>
          <t>8-K EX-99.1</t>
        </is>
      </c>
      <c r="G8" t="inlineStr">
        <is>
          <t>2026-05-07</t>
        </is>
      </c>
      <c r="H8" t="inlineStr">
        <is>
          <t>0001769628-26-000220</t>
        </is>
      </c>
      <c r="I8" t="inlineStr"/>
      <c r="J8" t="inlineStr">
        <is>
          <t>https://www.sec.gov/Archives/edgar/data/1769628/000176962826000220/coreweave1q26earningspress.htm</t>
        </is>
      </c>
    </row>
    <row r="9">
      <c r="A9" t="inlineStr">
        <is>
          <t>2026Q2</t>
        </is>
      </c>
      <c r="B9" t="inlineStr">
        <is>
          <t>active_power_mw</t>
        </is>
      </c>
      <c r="C9" t="n">
        <v>1500</v>
      </c>
      <c r="D9" t="inlineStr">
        <is>
          <t>MW</t>
        </is>
      </c>
      <c r="E9" t="inlineStr"/>
      <c r="F9" t="inlineStr">
        <is>
          <t>8-K EX-99.1</t>
        </is>
      </c>
      <c r="G9" t="inlineStr">
        <is>
          <t>2026-08-11</t>
        </is>
      </c>
      <c r="H9" t="inlineStr">
        <is>
          <t>0001769628-26-000362</t>
        </is>
      </c>
      <c r="I9" t="inlineStr"/>
      <c r="J9" t="inlineStr">
        <is>
          <t>https://www.sec.gov/Archives/edgar/data/1769628/000176962826000362/coreweave2q26earningspress.htm</t>
        </is>
      </c>
    </row>
    <row r="10">
      <c r="A10" t="inlineStr">
        <is>
          <t>2024Q4</t>
        </is>
      </c>
      <c r="B10" t="inlineStr">
        <is>
          <t>adjusted_ebitda_usd_m</t>
        </is>
      </c>
      <c r="C10" t="n">
        <v>486.114</v>
      </c>
      <c r="D10" t="inlineStr">
        <is>
          <t>USD m</t>
        </is>
      </c>
      <c r="E10" t="inlineStr"/>
      <c r="F10" t="inlineStr">
        <is>
          <t>S-1</t>
        </is>
      </c>
      <c r="G10" t="inlineStr">
        <is>
          <t>2025-03-03</t>
        </is>
      </c>
      <c r="H10" t="inlineStr">
        <is>
          <t>0001193125-25-044231</t>
        </is>
      </c>
      <c r="I10" t="inlineStr">
        <is>
          <t>115</t>
        </is>
      </c>
      <c r="J10" t="inlineStr">
        <is>
          <t>https://www.sec.gov/Archives/edgar/data/1769628/000119312525044231/d899798ds1.htm</t>
        </is>
      </c>
    </row>
    <row r="11">
      <c r="A11" t="inlineStr">
        <is>
          <t>2025Q1</t>
        </is>
      </c>
      <c r="B11" t="inlineStr">
        <is>
          <t>adjusted_ebitda_usd_m</t>
        </is>
      </c>
      <c r="C11" t="n">
        <v>606.131</v>
      </c>
      <c r="D11" t="inlineStr">
        <is>
          <t>USD m</t>
        </is>
      </c>
      <c r="E11" t="inlineStr"/>
      <c r="F11" t="inlineStr">
        <is>
          <t>8-K EX-99.1</t>
        </is>
      </c>
      <c r="G11" t="inlineStr">
        <is>
          <t>2025-05-14</t>
        </is>
      </c>
      <c r="H11" t="inlineStr">
        <is>
          <t>0001769628-25-000010</t>
        </is>
      </c>
      <c r="I11" t="inlineStr"/>
      <c r="J11" t="inlineStr">
        <is>
          <t>https://www.sec.gov/Archives/edgar/data/1769628/000176962825000010/coreweave1q25earningspress.htm</t>
        </is>
      </c>
    </row>
    <row r="12">
      <c r="A12" t="inlineStr">
        <is>
          <t>2025Q2</t>
        </is>
      </c>
      <c r="B12" t="inlineStr">
        <is>
          <t>adjusted_ebitda_usd_m</t>
        </is>
      </c>
      <c r="C12" t="n">
        <v>753.169</v>
      </c>
      <c r="D12" t="inlineStr">
        <is>
          <t>USD m</t>
        </is>
      </c>
      <c r="E12" t="inlineStr"/>
      <c r="F12" t="inlineStr">
        <is>
          <t>8-K EX-99.1</t>
        </is>
      </c>
      <c r="G12" t="inlineStr">
        <is>
          <t>2025-08-12</t>
        </is>
      </c>
      <c r="H12" t="inlineStr">
        <is>
          <t>0001769628-25-000039</t>
        </is>
      </c>
      <c r="I12" t="inlineStr"/>
      <c r="J12" t="inlineStr">
        <is>
          <t>https://www.sec.gov/Archives/edgar/data/1769628/000176962825000039/coreweave2q25earningspress.htm</t>
        </is>
      </c>
    </row>
    <row r="13">
      <c r="A13" t="inlineStr">
        <is>
          <t>2025Q3</t>
        </is>
      </c>
      <c r="B13" t="inlineStr">
        <is>
          <t>adjusted_ebitda_usd_m</t>
        </is>
      </c>
      <c r="C13" t="n">
        <v>838.124</v>
      </c>
      <c r="D13" t="inlineStr">
        <is>
          <t>USD m</t>
        </is>
      </c>
      <c r="E13" t="inlineStr"/>
      <c r="F13" t="inlineStr">
        <is>
          <t>8-K EX-99.1</t>
        </is>
      </c>
      <c r="G13" t="inlineStr">
        <is>
          <t>2025-11-10</t>
        </is>
      </c>
      <c r="H13" t="inlineStr">
        <is>
          <t>0001769628-25-000059</t>
        </is>
      </c>
      <c r="I13" t="inlineStr"/>
      <c r="J13" t="inlineStr">
        <is>
          <t>https://www.sec.gov/Archives/edgar/data/1769628/000176962825000059/coreweave3q25earningspress.htm</t>
        </is>
      </c>
    </row>
    <row r="14">
      <c r="A14" t="inlineStr">
        <is>
          <t>2025Q4</t>
        </is>
      </c>
      <c r="B14" t="inlineStr">
        <is>
          <t>adjusted_ebitda_usd_m</t>
        </is>
      </c>
      <c r="C14" t="n">
        <v>898</v>
      </c>
      <c r="D14" t="inlineStr">
        <is>
          <t>USD m</t>
        </is>
      </c>
      <c r="E14" t="inlineStr"/>
      <c r="F14" t="inlineStr">
        <is>
          <t>8-K EX-99.1</t>
        </is>
      </c>
      <c r="G14" t="inlineStr">
        <is>
          <t>2026-02-26</t>
        </is>
      </c>
      <c r="H14" t="inlineStr">
        <is>
          <t>0001769628-26-000094</t>
        </is>
      </c>
      <c r="I14" t="inlineStr"/>
      <c r="J14" t="inlineStr">
        <is>
          <t>https://www.sec.gov/Archives/edgar/data/1769628/000176962826000094/coreweave4q25earningspress.htm</t>
        </is>
      </c>
    </row>
    <row r="15">
      <c r="A15" t="inlineStr">
        <is>
          <t>2026Q1</t>
        </is>
      </c>
      <c r="B15" t="inlineStr">
        <is>
          <t>adjusted_ebitda_usd_m</t>
        </is>
      </c>
      <c r="C15" t="n">
        <v>1157</v>
      </c>
      <c r="D15" t="inlineStr">
        <is>
          <t>USD m</t>
        </is>
      </c>
      <c r="E15" t="inlineStr"/>
      <c r="F15" t="inlineStr">
        <is>
          <t>8-K EX-99.1</t>
        </is>
      </c>
      <c r="G15" t="inlineStr">
        <is>
          <t>2026-05-07</t>
        </is>
      </c>
      <c r="H15" t="inlineStr">
        <is>
          <t>0001769628-26-000220</t>
        </is>
      </c>
      <c r="I15" t="inlineStr"/>
      <c r="J15" t="inlineStr">
        <is>
          <t>https://www.sec.gov/Archives/edgar/data/1769628/000176962826000220/coreweave1q26earningspress.htm</t>
        </is>
      </c>
    </row>
    <row r="16">
      <c r="A16" t="inlineStr">
        <is>
          <t>2026Q2</t>
        </is>
      </c>
      <c r="B16" t="inlineStr">
        <is>
          <t>adjusted_ebitda_usd_m</t>
        </is>
      </c>
      <c r="C16" t="n">
        <v>1510</v>
      </c>
      <c r="D16" t="inlineStr">
        <is>
          <t>USD m</t>
        </is>
      </c>
      <c r="E16" t="inlineStr"/>
      <c r="F16" t="inlineStr">
        <is>
          <t>8-K EX-99.1</t>
        </is>
      </c>
      <c r="G16" t="inlineStr">
        <is>
          <t>2026-08-11</t>
        </is>
      </c>
      <c r="H16" t="inlineStr">
        <is>
          <t>0001769628-26-000362</t>
        </is>
      </c>
      <c r="I16" t="inlineStr"/>
      <c r="J16" t="inlineStr">
        <is>
          <t>https://www.sec.gov/Archives/edgar/data/1769628/000176962826000362/coreweave2q26earningspress.htm</t>
        </is>
      </c>
    </row>
    <row r="17">
      <c r="A17" t="inlineStr">
        <is>
          <t>2024Q4</t>
        </is>
      </c>
      <c r="B17" t="inlineStr">
        <is>
          <t>contracted_power_gw</t>
        </is>
      </c>
      <c r="C17" t="n">
        <v>1.3</v>
      </c>
      <c r="D17" t="inlineStr">
        <is>
          <t>GW</t>
        </is>
      </c>
      <c r="E17" t="inlineStr">
        <is>
          <t>approximately</t>
        </is>
      </c>
      <c r="F17" t="inlineStr">
        <is>
          <t>S-1</t>
        </is>
      </c>
      <c r="G17" t="inlineStr">
        <is>
          <t>2025-03-03</t>
        </is>
      </c>
      <c r="H17" t="inlineStr">
        <is>
          <t>0001193125-25-044231</t>
        </is>
      </c>
      <c r="I17" t="inlineStr">
        <is>
          <t>2</t>
        </is>
      </c>
      <c r="J17" t="inlineStr">
        <is>
          <t>https://www.sec.gov/Archives/edgar/data/1769628/000119312525044231/d899798ds1.htm</t>
        </is>
      </c>
    </row>
    <row r="18">
      <c r="A18" t="inlineStr">
        <is>
          <t>2025Q1</t>
        </is>
      </c>
      <c r="B18" t="inlineStr">
        <is>
          <t>contracted_power_gw</t>
        </is>
      </c>
      <c r="C18" t="n">
        <v>1.6</v>
      </c>
      <c r="D18" t="inlineStr">
        <is>
          <t>GW</t>
        </is>
      </c>
      <c r="E18" t="inlineStr">
        <is>
          <t>approximately</t>
        </is>
      </c>
      <c r="F18" t="inlineStr">
        <is>
          <t>8-K EX-99.1</t>
        </is>
      </c>
      <c r="G18" t="inlineStr">
        <is>
          <t>2025-05-14</t>
        </is>
      </c>
      <c r="H18" t="inlineStr">
        <is>
          <t>0001769628-25-000010</t>
        </is>
      </c>
      <c r="I18" t="inlineStr"/>
      <c r="J18" t="inlineStr">
        <is>
          <t>https://www.sec.gov/Archives/edgar/data/1769628/000176962825000010/coreweave1q25earningspress.htm</t>
        </is>
      </c>
    </row>
    <row r="19">
      <c r="A19" t="inlineStr">
        <is>
          <t>2025Q2</t>
        </is>
      </c>
      <c r="B19" t="inlineStr">
        <is>
          <t>contracted_power_gw</t>
        </is>
      </c>
      <c r="C19" t="n">
        <v>2.2</v>
      </c>
      <c r="D19" t="inlineStr">
        <is>
          <t>GW</t>
        </is>
      </c>
      <c r="E19" t="inlineStr"/>
      <c r="F19" t="inlineStr">
        <is>
          <t>8-K EX-99.1</t>
        </is>
      </c>
      <c r="G19" t="inlineStr">
        <is>
          <t>2025-08-12</t>
        </is>
      </c>
      <c r="H19" t="inlineStr">
        <is>
          <t>0001769628-25-000039</t>
        </is>
      </c>
      <c r="I19" t="inlineStr"/>
      <c r="J19" t="inlineStr">
        <is>
          <t>https://www.sec.gov/Archives/edgar/data/1769628/000176962825000039/coreweave2q25earningspress.htm</t>
        </is>
      </c>
    </row>
    <row r="20">
      <c r="A20" t="inlineStr">
        <is>
          <t>2025Q3</t>
        </is>
      </c>
      <c r="B20" t="inlineStr">
        <is>
          <t>contracted_power_gw</t>
        </is>
      </c>
      <c r="C20" t="n">
        <v>2.9</v>
      </c>
      <c r="D20" t="inlineStr">
        <is>
          <t>GW</t>
        </is>
      </c>
      <c r="E20" t="inlineStr">
        <is>
          <t>approximately</t>
        </is>
      </c>
      <c r="F20" t="inlineStr">
        <is>
          <t>8-K EX-99.1</t>
        </is>
      </c>
      <c r="G20" t="inlineStr">
        <is>
          <t>2025-11-10</t>
        </is>
      </c>
      <c r="H20" t="inlineStr">
        <is>
          <t>0001769628-25-000059</t>
        </is>
      </c>
      <c r="I20" t="inlineStr"/>
      <c r="J20" t="inlineStr">
        <is>
          <t>https://www.sec.gov/Archives/edgar/data/1769628/000176962825000059/coreweave3q25earningspress.htm</t>
        </is>
      </c>
    </row>
    <row r="21">
      <c r="A21" t="inlineStr">
        <is>
          <t>2025Q4</t>
        </is>
      </c>
      <c r="B21" t="inlineStr">
        <is>
          <t>contracted_power_gw</t>
        </is>
      </c>
      <c r="C21" t="n">
        <v>3.1</v>
      </c>
      <c r="D21" t="inlineStr">
        <is>
          <t>GW</t>
        </is>
      </c>
      <c r="E21" t="inlineStr">
        <is>
          <t>approximately</t>
        </is>
      </c>
      <c r="F21" t="inlineStr">
        <is>
          <t>8-K EX-99.1</t>
        </is>
      </c>
      <c r="G21" t="inlineStr">
        <is>
          <t>2026-02-26</t>
        </is>
      </c>
      <c r="H21" t="inlineStr">
        <is>
          <t>0001769628-26-000094</t>
        </is>
      </c>
      <c r="I21" t="inlineStr"/>
      <c r="J21" t="inlineStr">
        <is>
          <t>https://www.sec.gov/Archives/edgar/data/1769628/000176962826000094/coreweave4q25earningspress.htm</t>
        </is>
      </c>
    </row>
    <row r="22">
      <c r="A22" t="inlineStr">
        <is>
          <t>2026Q1</t>
        </is>
      </c>
      <c r="B22" t="inlineStr">
        <is>
          <t>contracted_power_gw</t>
        </is>
      </c>
      <c r="C22" t="n">
        <v>3.5</v>
      </c>
      <c r="D22" t="inlineStr">
        <is>
          <t>GW</t>
        </is>
      </c>
      <c r="E22" t="inlineStr">
        <is>
          <t>more than</t>
        </is>
      </c>
      <c r="F22" t="inlineStr">
        <is>
          <t>8-K EX-99.1</t>
        </is>
      </c>
      <c r="G22" t="inlineStr">
        <is>
          <t>2026-05-07</t>
        </is>
      </c>
      <c r="H22" t="inlineStr">
        <is>
          <t>0001769628-26-000220</t>
        </is>
      </c>
      <c r="I22" t="inlineStr"/>
      <c r="J22" t="inlineStr">
        <is>
          <t>https://www.sec.gov/Archives/edgar/data/1769628/000176962826000220/coreweave1q26earningspress.htm</t>
        </is>
      </c>
    </row>
    <row r="23">
      <c r="A23" t="inlineStr">
        <is>
          <t>2026Q2</t>
        </is>
      </c>
      <c r="B23" t="inlineStr">
        <is>
          <t>contracted_power_gw</t>
        </is>
      </c>
      <c r="C23" t="n">
        <v>3.7</v>
      </c>
      <c r="D23" t="inlineStr">
        <is>
          <t>GW</t>
        </is>
      </c>
      <c r="E23" t="inlineStr">
        <is>
          <t>approximately</t>
        </is>
      </c>
      <c r="F23" t="inlineStr">
        <is>
          <t>8-K EX-99.1</t>
        </is>
      </c>
      <c r="G23" t="inlineStr">
        <is>
          <t>2026-08-11</t>
        </is>
      </c>
      <c r="H23" t="inlineStr">
        <is>
          <t>0001769628-26-000362</t>
        </is>
      </c>
      <c r="I23" t="inlineStr"/>
      <c r="J23" t="inlineStr">
        <is>
          <t>https://www.sec.gov/Archives/edgar/data/1769628/000176962826000362/coreweave2q26earningspress.htm</t>
        </is>
      </c>
    </row>
    <row r="24">
      <c r="A24" t="inlineStr">
        <is>
          <t>2023Q4</t>
        </is>
      </c>
      <c r="B24" t="inlineStr">
        <is>
          <t>data_centers</t>
        </is>
      </c>
      <c r="C24" t="n">
        <v>10</v>
      </c>
      <c r="D24" t="inlineStr">
        <is>
          <t>count</t>
        </is>
      </c>
      <c r="E24" t="inlineStr"/>
      <c r="F24" t="inlineStr">
        <is>
          <t>10-K</t>
        </is>
      </c>
      <c r="G24" t="inlineStr">
        <is>
          <t>2026-03-02</t>
        </is>
      </c>
      <c r="H24" t="inlineStr">
        <is>
          <t>0001769628-26-000104</t>
        </is>
      </c>
      <c r="I24" t="inlineStr">
        <is>
          <t>5</t>
        </is>
      </c>
      <c r="J24" t="inlineStr">
        <is>
          <t>https://www.sec.gov/Archives/edgar/data/1769628/000176962826000104/crwv-20251231.htm</t>
        </is>
      </c>
    </row>
    <row r="25">
      <c r="A25" t="inlineStr">
        <is>
          <t>2024Q4</t>
        </is>
      </c>
      <c r="B25" t="inlineStr">
        <is>
          <t>data_centers</t>
        </is>
      </c>
      <c r="C25" t="n">
        <v>32</v>
      </c>
      <c r="D25" t="inlineStr">
        <is>
          <t>count</t>
        </is>
      </c>
      <c r="E25" t="inlineStr"/>
      <c r="F25" t="inlineStr">
        <is>
          <t>10-K</t>
        </is>
      </c>
      <c r="G25" t="inlineStr">
        <is>
          <t>2026-03-02</t>
        </is>
      </c>
      <c r="H25" t="inlineStr">
        <is>
          <t>0001769628-26-000104</t>
        </is>
      </c>
      <c r="I25" t="inlineStr">
        <is>
          <t>5</t>
        </is>
      </c>
      <c r="J25" t="inlineStr">
        <is>
          <t>https://www.sec.gov/Archives/edgar/data/1769628/000176962826000104/crwv-20251231.htm</t>
        </is>
      </c>
    </row>
    <row r="26">
      <c r="A26" t="inlineStr">
        <is>
          <t>2025Q4</t>
        </is>
      </c>
      <c r="B26" t="inlineStr">
        <is>
          <t>data_centers</t>
        </is>
      </c>
      <c r="C26" t="n">
        <v>43</v>
      </c>
      <c r="D26" t="inlineStr">
        <is>
          <t>count</t>
        </is>
      </c>
      <c r="E26" t="inlineStr"/>
      <c r="F26" t="inlineStr">
        <is>
          <t>10-K</t>
        </is>
      </c>
      <c r="G26" t="inlineStr">
        <is>
          <t>2026-03-02</t>
        </is>
      </c>
      <c r="H26" t="inlineStr">
        <is>
          <t>0001769628-26-000104</t>
        </is>
      </c>
      <c r="I26" t="inlineStr">
        <is>
          <t>5</t>
        </is>
      </c>
      <c r="J26" t="inlineStr">
        <is>
          <t>https://www.sec.gov/Archives/edgar/data/1769628/000176962826000104/crwv-20251231.htm</t>
        </is>
      </c>
    </row>
    <row r="27">
      <c r="A27" t="inlineStr">
        <is>
          <t>2026</t>
        </is>
      </c>
      <c r="B27" t="inlineStr">
        <is>
          <t>debt_principal_due_usd_m</t>
        </is>
      </c>
      <c r="C27" t="n">
        <v>4413</v>
      </c>
      <c r="D27" t="inlineStr">
        <is>
          <t>USD m</t>
        </is>
      </c>
      <c r="E27" t="inlineStr">
        <is>
          <t>remainder of year</t>
        </is>
      </c>
      <c r="F27" t="inlineStr">
        <is>
          <t>10-Q</t>
        </is>
      </c>
      <c r="G27" t="inlineStr">
        <is>
          <t>2026-08-12</t>
        </is>
      </c>
      <c r="H27" t="inlineStr">
        <is>
          <t>0001769628-26-000366</t>
        </is>
      </c>
      <c r="I27" t="inlineStr">
        <is>
          <t>28</t>
        </is>
      </c>
      <c r="J27" t="inlineStr">
        <is>
          <t>https://www.sec.gov/Archives/edgar/data/1769628/000176962826000366/crwv-20260630.htm</t>
        </is>
      </c>
    </row>
    <row r="28">
      <c r="A28" t="inlineStr">
        <is>
          <t>2027</t>
        </is>
      </c>
      <c r="B28" t="inlineStr">
        <is>
          <t>debt_principal_due_usd_m</t>
        </is>
      </c>
      <c r="C28" t="n">
        <v>6184</v>
      </c>
      <c r="D28" t="inlineStr">
        <is>
          <t>USD m</t>
        </is>
      </c>
      <c r="E28" t="inlineStr"/>
      <c r="F28" t="inlineStr">
        <is>
          <t>10-Q</t>
        </is>
      </c>
      <c r="G28" t="inlineStr">
        <is>
          <t>2026-08-12</t>
        </is>
      </c>
      <c r="H28" t="inlineStr">
        <is>
          <t>0001769628-26-000366</t>
        </is>
      </c>
      <c r="I28" t="inlineStr">
        <is>
          <t>28</t>
        </is>
      </c>
      <c r="J28" t="inlineStr">
        <is>
          <t>https://www.sec.gov/Archives/edgar/data/1769628/000176962826000366/crwv-20260630.htm</t>
        </is>
      </c>
    </row>
    <row r="29">
      <c r="A29" t="inlineStr">
        <is>
          <t>2028</t>
        </is>
      </c>
      <c r="B29" t="inlineStr">
        <is>
          <t>debt_principal_due_usd_m</t>
        </is>
      </c>
      <c r="C29" t="n">
        <v>4416</v>
      </c>
      <c r="D29" t="inlineStr">
        <is>
          <t>USD m</t>
        </is>
      </c>
      <c r="E29" t="inlineStr"/>
      <c r="F29" t="inlineStr">
        <is>
          <t>10-Q</t>
        </is>
      </c>
      <c r="G29" t="inlineStr">
        <is>
          <t>2026-08-12</t>
        </is>
      </c>
      <c r="H29" t="inlineStr">
        <is>
          <t>0001769628-26-000366</t>
        </is>
      </c>
      <c r="I29" t="inlineStr">
        <is>
          <t>28</t>
        </is>
      </c>
      <c r="J29" t="inlineStr">
        <is>
          <t>https://www.sec.gov/Archives/edgar/data/1769628/000176962826000366/crwv-20260630.htm</t>
        </is>
      </c>
    </row>
    <row r="30">
      <c r="A30" t="inlineStr">
        <is>
          <t>2029</t>
        </is>
      </c>
      <c r="B30" t="inlineStr">
        <is>
          <t>debt_principal_due_usd_m</t>
        </is>
      </c>
      <c r="C30" t="n">
        <v>2421</v>
      </c>
      <c r="D30" t="inlineStr">
        <is>
          <t>USD m</t>
        </is>
      </c>
      <c r="E30" t="inlineStr"/>
      <c r="F30" t="inlineStr">
        <is>
          <t>10-Q</t>
        </is>
      </c>
      <c r="G30" t="inlineStr">
        <is>
          <t>2026-08-12</t>
        </is>
      </c>
      <c r="H30" t="inlineStr">
        <is>
          <t>0001769628-26-000366</t>
        </is>
      </c>
      <c r="I30" t="inlineStr">
        <is>
          <t>28</t>
        </is>
      </c>
      <c r="J30" t="inlineStr">
        <is>
          <t>https://www.sec.gov/Archives/edgar/data/1769628/000176962826000366/crwv-20260630.htm</t>
        </is>
      </c>
    </row>
    <row r="31">
      <c r="A31" t="inlineStr">
        <is>
          <t>2030</t>
        </is>
      </c>
      <c r="B31" t="inlineStr">
        <is>
          <t>debt_principal_due_usd_m</t>
        </is>
      </c>
      <c r="C31" t="n">
        <v>3221</v>
      </c>
      <c r="D31" t="inlineStr">
        <is>
          <t>USD m</t>
        </is>
      </c>
      <c r="E31" t="inlineStr"/>
      <c r="F31" t="inlineStr">
        <is>
          <t>10-Q</t>
        </is>
      </c>
      <c r="G31" t="inlineStr">
        <is>
          <t>2026-08-12</t>
        </is>
      </c>
      <c r="H31" t="inlineStr">
        <is>
          <t>0001769628-26-000366</t>
        </is>
      </c>
      <c r="I31" t="inlineStr">
        <is>
          <t>28</t>
        </is>
      </c>
      <c r="J31" t="inlineStr">
        <is>
          <t>https://www.sec.gov/Archives/edgar/data/1769628/000176962826000366/crwv-20260630.htm</t>
        </is>
      </c>
    </row>
    <row r="32">
      <c r="A32" t="inlineStr">
        <is>
          <t>2031</t>
        </is>
      </c>
      <c r="B32" t="inlineStr">
        <is>
          <t>debt_principal_due_usd_m</t>
        </is>
      </c>
      <c r="C32" t="n">
        <v>14896</v>
      </c>
      <c r="D32" t="inlineStr">
        <is>
          <t>USD m</t>
        </is>
      </c>
      <c r="E32" t="inlineStr">
        <is>
          <t>thereafter</t>
        </is>
      </c>
      <c r="F32" t="inlineStr">
        <is>
          <t>10-Q</t>
        </is>
      </c>
      <c r="G32" t="inlineStr">
        <is>
          <t>2026-08-12</t>
        </is>
      </c>
      <c r="H32" t="inlineStr">
        <is>
          <t>0001769628-26-000366</t>
        </is>
      </c>
      <c r="I32" t="inlineStr">
        <is>
          <t>28</t>
        </is>
      </c>
      <c r="J32" t="inlineStr">
        <is>
          <t>https://www.sec.gov/Archives/edgar/data/1769628/000176962826000366/crwv-20260630.htm</t>
        </is>
      </c>
    </row>
    <row r="33">
      <c r="A33" t="inlineStr">
        <is>
          <t>2026Q2</t>
        </is>
      </c>
      <c r="B33" t="inlineStr">
        <is>
          <t>debt_principal_usd_m</t>
        </is>
      </c>
      <c r="C33" t="n">
        <v>35551</v>
      </c>
      <c r="D33" t="inlineStr">
        <is>
          <t>USD m</t>
        </is>
      </c>
      <c r="E33" t="inlineStr"/>
      <c r="F33" t="inlineStr">
        <is>
          <t>10-Q</t>
        </is>
      </c>
      <c r="G33" t="inlineStr">
        <is>
          <t>2026-08-12</t>
        </is>
      </c>
      <c r="H33" t="inlineStr">
        <is>
          <t>0001769628-26-000366</t>
        </is>
      </c>
      <c r="I33" t="inlineStr">
        <is>
          <t>28</t>
        </is>
      </c>
      <c r="J33" t="inlineStr">
        <is>
          <t>https://www.sec.gov/Archives/edgar/data/1769628/000176962826000366/crwv-20260630.htm</t>
        </is>
      </c>
    </row>
    <row r="34">
      <c r="A34" t="inlineStr">
        <is>
          <t>2024Q4</t>
        </is>
      </c>
      <c r="B34" t="inlineStr">
        <is>
          <t>gpus_installed</t>
        </is>
      </c>
      <c r="C34" t="n">
        <v>250000</v>
      </c>
      <c r="D34" t="inlineStr">
        <is>
          <t>count</t>
        </is>
      </c>
      <c r="E34" t="inlineStr">
        <is>
          <t>more than</t>
        </is>
      </c>
      <c r="F34" t="inlineStr">
        <is>
          <t>S-1</t>
        </is>
      </c>
      <c r="G34" t="inlineStr">
        <is>
          <t>2025-03-03</t>
        </is>
      </c>
      <c r="H34" t="inlineStr">
        <is>
          <t>0001193125-25-044231</t>
        </is>
      </c>
      <c r="I34" t="inlineStr">
        <is>
          <t>2</t>
        </is>
      </c>
      <c r="J34" t="inlineStr">
        <is>
          <t>https://www.sec.gov/Archives/edgar/data/1769628/000119312525044231/d899798ds1.htm</t>
        </is>
      </c>
    </row>
    <row r="35">
      <c r="A35" t="inlineStr">
        <is>
          <t>2025Q1</t>
        </is>
      </c>
      <c r="B35" t="inlineStr">
        <is>
          <t>revenue_backlog_usd_bn</t>
        </is>
      </c>
      <c r="C35" t="n">
        <v>25.9</v>
      </c>
      <c r="D35" t="inlineStr">
        <is>
          <t>USD bn</t>
        </is>
      </c>
      <c r="E35" t="inlineStr"/>
      <c r="F35" t="inlineStr">
        <is>
          <t>8-K EX-99.1</t>
        </is>
      </c>
      <c r="G35" t="inlineStr">
        <is>
          <t>2025-05-14</t>
        </is>
      </c>
      <c r="H35" t="inlineStr">
        <is>
          <t>0001769628-25-000010</t>
        </is>
      </c>
      <c r="I35" t="inlineStr"/>
      <c r="J35" t="inlineStr">
        <is>
          <t>https://www.sec.gov/Archives/edgar/data/1769628/000176962825000010/coreweave1q25earningspress.htm</t>
        </is>
      </c>
    </row>
    <row r="36">
      <c r="A36" t="inlineStr">
        <is>
          <t>2025Q2</t>
        </is>
      </c>
      <c r="B36" t="inlineStr">
        <is>
          <t>revenue_backlog_usd_bn</t>
        </is>
      </c>
      <c r="C36" t="n">
        <v>30.1</v>
      </c>
      <c r="D36" t="inlineStr">
        <is>
          <t>USD bn</t>
        </is>
      </c>
      <c r="E36" t="inlineStr"/>
      <c r="F36" t="inlineStr">
        <is>
          <t>8-K EX-99.1</t>
        </is>
      </c>
      <c r="G36" t="inlineStr">
        <is>
          <t>2025-08-12</t>
        </is>
      </c>
      <c r="H36" t="inlineStr">
        <is>
          <t>0001769628-25-000039</t>
        </is>
      </c>
      <c r="I36" t="inlineStr"/>
      <c r="J36" t="inlineStr">
        <is>
          <t>https://www.sec.gov/Archives/edgar/data/1769628/000176962825000039/coreweave2q25earningspress.htm</t>
        </is>
      </c>
    </row>
    <row r="37">
      <c r="A37" t="inlineStr">
        <is>
          <t>2025Q3</t>
        </is>
      </c>
      <c r="B37" t="inlineStr">
        <is>
          <t>revenue_backlog_usd_bn</t>
        </is>
      </c>
      <c r="C37" t="n">
        <v>55.6</v>
      </c>
      <c r="D37" t="inlineStr">
        <is>
          <t>USD bn</t>
        </is>
      </c>
      <c r="E37" t="inlineStr"/>
      <c r="F37" t="inlineStr">
        <is>
          <t>8-K EX-99.1</t>
        </is>
      </c>
      <c r="G37" t="inlineStr">
        <is>
          <t>2025-11-10</t>
        </is>
      </c>
      <c r="H37" t="inlineStr">
        <is>
          <t>0001769628-25-000059</t>
        </is>
      </c>
      <c r="I37" t="inlineStr"/>
      <c r="J37" t="inlineStr">
        <is>
          <t>https://www.sec.gov/Archives/edgar/data/1769628/000176962825000059/coreweave3q25earningspress.htm</t>
        </is>
      </c>
    </row>
    <row r="38">
      <c r="A38" t="inlineStr">
        <is>
          <t>2025Q4</t>
        </is>
      </c>
      <c r="B38" t="inlineStr">
        <is>
          <t>revenue_backlog_usd_bn</t>
        </is>
      </c>
      <c r="C38" t="n">
        <v>66.8</v>
      </c>
      <c r="D38" t="inlineStr">
        <is>
          <t>USD bn</t>
        </is>
      </c>
      <c r="E38" t="inlineStr"/>
      <c r="F38" t="inlineStr">
        <is>
          <t>8-K EX-99.1</t>
        </is>
      </c>
      <c r="G38" t="inlineStr">
        <is>
          <t>2026-02-26</t>
        </is>
      </c>
      <c r="H38" t="inlineStr">
        <is>
          <t>0001769628-26-000094</t>
        </is>
      </c>
      <c r="I38" t="inlineStr"/>
      <c r="J38" t="inlineStr">
        <is>
          <t>https://www.sec.gov/Archives/edgar/data/1769628/000176962826000094/coreweave4q25earningspress.htm</t>
        </is>
      </c>
    </row>
    <row r="39">
      <c r="A39" t="inlineStr">
        <is>
          <t>2026Q1</t>
        </is>
      </c>
      <c r="B39" t="inlineStr">
        <is>
          <t>revenue_backlog_usd_bn</t>
        </is>
      </c>
      <c r="C39" t="n">
        <v>99.40000000000001</v>
      </c>
      <c r="D39" t="inlineStr">
        <is>
          <t>USD bn</t>
        </is>
      </c>
      <c r="E39" t="inlineStr"/>
      <c r="F39" t="inlineStr">
        <is>
          <t>8-K EX-99.1</t>
        </is>
      </c>
      <c r="G39" t="inlineStr">
        <is>
          <t>2026-05-07</t>
        </is>
      </c>
      <c r="H39" t="inlineStr">
        <is>
          <t>0001769628-26-000220</t>
        </is>
      </c>
      <c r="I39" t="inlineStr"/>
      <c r="J39" t="inlineStr">
        <is>
          <t>https://www.sec.gov/Archives/edgar/data/1769628/000176962826000220/coreweave1q26earningspress.htm</t>
        </is>
      </c>
    </row>
    <row r="40">
      <c r="A40" t="inlineStr">
        <is>
          <t>2026Q2</t>
        </is>
      </c>
      <c r="B40" t="inlineStr">
        <is>
          <t>revenue_backlog_usd_bn</t>
        </is>
      </c>
      <c r="C40" t="n">
        <v>104</v>
      </c>
      <c r="D40" t="inlineStr">
        <is>
          <t>USD bn</t>
        </is>
      </c>
      <c r="E40" t="inlineStr">
        <is>
          <t>approximately</t>
        </is>
      </c>
      <c r="F40" t="inlineStr">
        <is>
          <t>8-K EX-99.1</t>
        </is>
      </c>
      <c r="G40" t="inlineStr">
        <is>
          <t>2026-08-11</t>
        </is>
      </c>
      <c r="H40" t="inlineStr">
        <is>
          <t>0001769628-26-000362</t>
        </is>
      </c>
      <c r="I40" t="inlineStr"/>
      <c r="J40" t="inlineStr">
        <is>
          <t>https://www.sec.gov/Archives/edgar/data/1769628/000176962826000362/coreweave2q26earningspress.htm</t>
        </is>
      </c>
    </row>
    <row r="41">
      <c r="A41" t="inlineStr">
        <is>
          <t>2024Q4</t>
        </is>
      </c>
      <c r="B41" t="inlineStr">
        <is>
          <t>rpo_usd_bn</t>
        </is>
      </c>
      <c r="C41" t="n">
        <v>15.1</v>
      </c>
      <c r="D41" t="inlineStr">
        <is>
          <t>USD bn</t>
        </is>
      </c>
      <c r="E41" t="inlineStr"/>
      <c r="F41" t="inlineStr">
        <is>
          <t>S-1</t>
        </is>
      </c>
      <c r="G41" t="inlineStr">
        <is>
          <t>2025-03-03</t>
        </is>
      </c>
      <c r="H41" t="inlineStr">
        <is>
          <t>0001193125-25-044231</t>
        </is>
      </c>
      <c r="I41" t="inlineStr">
        <is>
          <t>2</t>
        </is>
      </c>
      <c r="J41" t="inlineStr">
        <is>
          <t>https://www.sec.gov/Archives/edgar/data/1769628/000119312525044231/d899798ds1.htm</t>
        </is>
      </c>
    </row>
    <row r="42">
      <c r="A42" t="inlineStr">
        <is>
          <t>2025Q1</t>
        </is>
      </c>
      <c r="B42" t="inlineStr">
        <is>
          <t>rpo_usd_bn</t>
        </is>
      </c>
      <c r="C42" t="n">
        <v>14.7</v>
      </c>
      <c r="D42" t="inlineStr">
        <is>
          <t>USD bn</t>
        </is>
      </c>
      <c r="E42" t="inlineStr"/>
      <c r="F42" t="inlineStr">
        <is>
          <t>8-K EX-99.1</t>
        </is>
      </c>
      <c r="G42" t="inlineStr">
        <is>
          <t>2025-05-14</t>
        </is>
      </c>
      <c r="H42" t="inlineStr">
        <is>
          <t>0001769628-25-000010</t>
        </is>
      </c>
      <c r="I42" t="inlineStr"/>
      <c r="J42" t="inlineStr">
        <is>
          <t>https://www.sec.gov/Archives/edgar/data/1769628/000176962825000010/coreweave1q25earningspress.htm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0" t="inlineStr">
        <is>
          <t>concept</t>
        </is>
      </c>
      <c r="B1" s="10" t="inlineStr">
        <is>
          <t>tag</t>
        </is>
      </c>
      <c r="C1" s="10" t="inlineStr">
        <is>
          <t>taxonomy</t>
        </is>
      </c>
      <c r="D1" s="10" t="inlineStr">
        <is>
          <t>unit</t>
        </is>
      </c>
      <c r="E1" s="10" t="inlineStr">
        <is>
          <t>start</t>
        </is>
      </c>
      <c r="F1" s="10" t="inlineStr">
        <is>
          <t>end</t>
        </is>
      </c>
      <c r="G1" s="10" t="inlineStr">
        <is>
          <t>val</t>
        </is>
      </c>
      <c r="H1" s="10" t="inlineStr">
        <is>
          <t>fy</t>
        </is>
      </c>
      <c r="I1" s="10" t="inlineStr">
        <is>
          <t>fp</t>
        </is>
      </c>
      <c r="J1" s="10" t="inlineStr">
        <is>
          <t>form</t>
        </is>
      </c>
      <c r="K1" s="10" t="inlineStr">
        <is>
          <t>filed</t>
        </is>
      </c>
      <c r="L1" s="10" t="inlineStr">
        <is>
          <t>accn</t>
        </is>
      </c>
      <c r="M1" s="10" t="inlineStr">
        <is>
          <t>frame</t>
        </is>
      </c>
    </row>
    <row r="2">
      <c r="A2" t="inlineStr">
        <is>
          <t>capex</t>
        </is>
      </c>
      <c r="B2" t="inlineStr">
        <is>
          <t>PaymentsToAcquirePropertyPlantAndEquipment</t>
        </is>
      </c>
      <c r="C2" t="inlineStr">
        <is>
          <t>us-gaap</t>
        </is>
      </c>
      <c r="D2" t="inlineStr">
        <is>
          <t>USD</t>
        </is>
      </c>
      <c r="E2" t="inlineStr">
        <is>
          <t>2023-01-01</t>
        </is>
      </c>
      <c r="F2" t="inlineStr">
        <is>
          <t>2023-12-31</t>
        </is>
      </c>
      <c r="G2" t="n">
        <v>2943000000</v>
      </c>
      <c r="H2" t="n">
        <v>2025</v>
      </c>
      <c r="I2" t="inlineStr">
        <is>
          <t>FY</t>
        </is>
      </c>
      <c r="J2" t="inlineStr">
        <is>
          <t>10-K</t>
        </is>
      </c>
      <c r="K2" t="inlineStr">
        <is>
          <t>2026-03-02</t>
        </is>
      </c>
      <c r="L2" t="inlineStr">
        <is>
          <t>0001769628-26-000104</t>
        </is>
      </c>
      <c r="M2" t="inlineStr">
        <is>
          <t>CY2023</t>
        </is>
      </c>
    </row>
    <row r="3">
      <c r="A3" t="inlineStr">
        <is>
          <t>capex</t>
        </is>
      </c>
      <c r="B3" t="inlineStr">
        <is>
          <t>PaymentsToAcquirePropertyPlantAndEquipment</t>
        </is>
      </c>
      <c r="C3" t="inlineStr">
        <is>
          <t>us-gaap</t>
        </is>
      </c>
      <c r="D3" t="inlineStr">
        <is>
          <t>USD</t>
        </is>
      </c>
      <c r="E3" t="inlineStr">
        <is>
          <t>2024-01-01</t>
        </is>
      </c>
      <c r="F3" t="inlineStr">
        <is>
          <t>2024-03-31</t>
        </is>
      </c>
      <c r="G3" t="n">
        <v>1741935000</v>
      </c>
      <c r="H3" t="n">
        <v>2025</v>
      </c>
      <c r="I3" t="inlineStr">
        <is>
          <t>Q1</t>
        </is>
      </c>
      <c r="J3" t="inlineStr">
        <is>
          <t>10-Q</t>
        </is>
      </c>
      <c r="K3" t="inlineStr">
        <is>
          <t>2025-05-15</t>
        </is>
      </c>
      <c r="L3" t="inlineStr">
        <is>
          <t>0001769628-25-000014</t>
        </is>
      </c>
      <c r="M3" t="inlineStr">
        <is>
          <t>CY2024Q1</t>
        </is>
      </c>
    </row>
    <row r="4">
      <c r="A4" t="inlineStr">
        <is>
          <t>capex</t>
        </is>
      </c>
      <c r="B4" t="inlineStr">
        <is>
          <t>PaymentsToAcquirePropertyPlantAndEquipment</t>
        </is>
      </c>
      <c r="C4" t="inlineStr">
        <is>
          <t>us-gaap</t>
        </is>
      </c>
      <c r="D4" t="inlineStr">
        <is>
          <t>USD</t>
        </is>
      </c>
      <c r="E4" t="inlineStr">
        <is>
          <t>2024-01-01</t>
        </is>
      </c>
      <c r="F4" t="inlineStr">
        <is>
          <t>2024-06-30</t>
        </is>
      </c>
      <c r="G4" t="n">
        <v>3989096000</v>
      </c>
      <c r="H4" t="n">
        <v>2025</v>
      </c>
      <c r="I4" t="inlineStr">
        <is>
          <t>Q2</t>
        </is>
      </c>
      <c r="J4" t="inlineStr">
        <is>
          <t>10-Q</t>
        </is>
      </c>
      <c r="K4" t="inlineStr">
        <is>
          <t>2025-08-13</t>
        </is>
      </c>
      <c r="L4" t="inlineStr">
        <is>
          <t>0001769628-25-000041</t>
        </is>
      </c>
    </row>
    <row r="5">
      <c r="A5" t="inlineStr">
        <is>
          <t>capex</t>
        </is>
      </c>
      <c r="B5" t="inlineStr">
        <is>
          <t>PaymentsToAcquirePropertyPlantAndEquipment</t>
        </is>
      </c>
      <c r="C5" t="inlineStr">
        <is>
          <t>us-gaap</t>
        </is>
      </c>
      <c r="D5" t="inlineStr">
        <is>
          <t>USD</t>
        </is>
      </c>
      <c r="E5" t="inlineStr">
        <is>
          <t>2024-01-01</t>
        </is>
      </c>
      <c r="F5" t="inlineStr">
        <is>
          <t>2024-09-30</t>
        </is>
      </c>
      <c r="G5" t="n">
        <v>5204251000</v>
      </c>
      <c r="H5" t="n">
        <v>2025</v>
      </c>
      <c r="I5" t="inlineStr">
        <is>
          <t>Q3</t>
        </is>
      </c>
      <c r="J5" t="inlineStr">
        <is>
          <t>10-Q</t>
        </is>
      </c>
      <c r="K5" t="inlineStr">
        <is>
          <t>2025-11-13</t>
        </is>
      </c>
      <c r="L5" t="inlineStr">
        <is>
          <t>0001769628-25-000062</t>
        </is>
      </c>
    </row>
    <row r="6">
      <c r="A6" t="inlineStr">
        <is>
          <t>capex</t>
        </is>
      </c>
      <c r="B6" t="inlineStr">
        <is>
          <t>PaymentsToAcquirePropertyPlantAndEquipment</t>
        </is>
      </c>
      <c r="C6" t="inlineStr">
        <is>
          <t>us-gaap</t>
        </is>
      </c>
      <c r="D6" t="inlineStr">
        <is>
          <t>USD</t>
        </is>
      </c>
      <c r="E6" t="inlineStr">
        <is>
          <t>2024-01-01</t>
        </is>
      </c>
      <c r="F6" t="inlineStr">
        <is>
          <t>2024-12-31</t>
        </is>
      </c>
      <c r="G6" t="n">
        <v>8702000000</v>
      </c>
      <c r="H6" t="n">
        <v>2025</v>
      </c>
      <c r="I6" t="inlineStr">
        <is>
          <t>FY</t>
        </is>
      </c>
      <c r="J6" t="inlineStr">
        <is>
          <t>10-K</t>
        </is>
      </c>
      <c r="K6" t="inlineStr">
        <is>
          <t>2026-03-02</t>
        </is>
      </c>
      <c r="L6" t="inlineStr">
        <is>
          <t>0001769628-26-000104</t>
        </is>
      </c>
      <c r="M6" t="inlineStr">
        <is>
          <t>CY2024</t>
        </is>
      </c>
    </row>
    <row r="7">
      <c r="A7" t="inlineStr">
        <is>
          <t>capex</t>
        </is>
      </c>
      <c r="B7" t="inlineStr">
        <is>
          <t>PaymentsToAcquirePropertyPlantAndEquipment</t>
        </is>
      </c>
      <c r="C7" t="inlineStr">
        <is>
          <t>us-gaap</t>
        </is>
      </c>
      <c r="D7" t="inlineStr">
        <is>
          <t>USD</t>
        </is>
      </c>
      <c r="E7" t="inlineStr">
        <is>
          <t>2025-01-01</t>
        </is>
      </c>
      <c r="F7" t="inlineStr">
        <is>
          <t>2025-03-31</t>
        </is>
      </c>
      <c r="G7" t="n">
        <v>1407359000</v>
      </c>
      <c r="H7" t="n">
        <v>2025</v>
      </c>
      <c r="I7" t="inlineStr">
        <is>
          <t>Q1</t>
        </is>
      </c>
      <c r="J7" t="inlineStr">
        <is>
          <t>10-Q</t>
        </is>
      </c>
      <c r="K7" t="inlineStr">
        <is>
          <t>2025-05-15</t>
        </is>
      </c>
      <c r="L7" t="inlineStr">
        <is>
          <t>0001769628-25-000014</t>
        </is>
      </c>
    </row>
    <row r="8">
      <c r="A8" t="inlineStr">
        <is>
          <t>capex</t>
        </is>
      </c>
      <c r="B8" t="inlineStr">
        <is>
          <t>PaymentsToAcquirePropertyPlantAndEquipment</t>
        </is>
      </c>
      <c r="C8" t="inlineStr">
        <is>
          <t>us-gaap</t>
        </is>
      </c>
      <c r="D8" t="inlineStr">
        <is>
          <t>USD</t>
        </is>
      </c>
      <c r="E8" t="inlineStr">
        <is>
          <t>2025-01-01</t>
        </is>
      </c>
      <c r="F8" t="inlineStr">
        <is>
          <t>2025-03-31</t>
        </is>
      </c>
      <c r="G8" t="n">
        <v>1407000000</v>
      </c>
      <c r="H8" t="n">
        <v>2026</v>
      </c>
      <c r="I8" t="inlineStr">
        <is>
          <t>Q1</t>
        </is>
      </c>
      <c r="J8" t="inlineStr">
        <is>
          <t>10-Q</t>
        </is>
      </c>
      <c r="K8" t="inlineStr">
        <is>
          <t>2026-05-08</t>
        </is>
      </c>
      <c r="L8" t="inlineStr">
        <is>
          <t>0001769628-26-000222</t>
        </is>
      </c>
      <c r="M8" t="inlineStr">
        <is>
          <t>CY2025Q1</t>
        </is>
      </c>
    </row>
    <row r="9">
      <c r="A9" t="inlineStr">
        <is>
          <t>capex</t>
        </is>
      </c>
      <c r="B9" t="inlineStr">
        <is>
          <t>PaymentsToAcquirePropertyPlantAndEquipment</t>
        </is>
      </c>
      <c r="C9" t="inlineStr">
        <is>
          <t>us-gaap</t>
        </is>
      </c>
      <c r="D9" t="inlineStr">
        <is>
          <t>USD</t>
        </is>
      </c>
      <c r="E9" t="inlineStr">
        <is>
          <t>2025-01-01</t>
        </is>
      </c>
      <c r="F9" t="inlineStr">
        <is>
          <t>2025-06-30</t>
        </is>
      </c>
      <c r="G9" t="n">
        <v>3860351000</v>
      </c>
      <c r="H9" t="n">
        <v>2025</v>
      </c>
      <c r="I9" t="inlineStr">
        <is>
          <t>Q2</t>
        </is>
      </c>
      <c r="J9" t="inlineStr">
        <is>
          <t>10-Q</t>
        </is>
      </c>
      <c r="K9" t="inlineStr">
        <is>
          <t>2025-08-13</t>
        </is>
      </c>
      <c r="L9" t="inlineStr">
        <is>
          <t>0001769628-25-000041</t>
        </is>
      </c>
    </row>
    <row r="10">
      <c r="A10" t="inlineStr">
        <is>
          <t>capex</t>
        </is>
      </c>
      <c r="B10" t="inlineStr">
        <is>
          <t>PaymentsToAcquirePropertyPlantAndEquipment</t>
        </is>
      </c>
      <c r="C10" t="inlineStr">
        <is>
          <t>us-gaap</t>
        </is>
      </c>
      <c r="D10" t="inlineStr">
        <is>
          <t>USD</t>
        </is>
      </c>
      <c r="E10" t="inlineStr">
        <is>
          <t>2025-01-01</t>
        </is>
      </c>
      <c r="F10" t="inlineStr">
        <is>
          <t>2025-06-30</t>
        </is>
      </c>
      <c r="G10" t="n">
        <v>3860000000</v>
      </c>
      <c r="H10" t="n">
        <v>2026</v>
      </c>
      <c r="I10" t="inlineStr">
        <is>
          <t>Q2</t>
        </is>
      </c>
      <c r="J10" t="inlineStr">
        <is>
          <t>10-Q</t>
        </is>
      </c>
      <c r="K10" t="inlineStr">
        <is>
          <t>2026-08-12</t>
        </is>
      </c>
      <c r="L10" t="inlineStr">
        <is>
          <t>0001769628-26-000366</t>
        </is>
      </c>
    </row>
    <row r="11">
      <c r="A11" t="inlineStr">
        <is>
          <t>capex</t>
        </is>
      </c>
      <c r="B11" t="inlineStr">
        <is>
          <t>PaymentsToAcquirePropertyPlantAndEquipment</t>
        </is>
      </c>
      <c r="C11" t="inlineStr">
        <is>
          <t>us-gaap</t>
        </is>
      </c>
      <c r="D11" t="inlineStr">
        <is>
          <t>USD</t>
        </is>
      </c>
      <c r="E11" t="inlineStr">
        <is>
          <t>2025-01-01</t>
        </is>
      </c>
      <c r="F11" t="inlineStr">
        <is>
          <t>2025-09-30</t>
        </is>
      </c>
      <c r="G11" t="n">
        <v>6249239000</v>
      </c>
      <c r="H11" t="n">
        <v>2025</v>
      </c>
      <c r="I11" t="inlineStr">
        <is>
          <t>Q3</t>
        </is>
      </c>
      <c r="J11" t="inlineStr">
        <is>
          <t>10-Q</t>
        </is>
      </c>
      <c r="K11" t="inlineStr">
        <is>
          <t>2025-11-13</t>
        </is>
      </c>
      <c r="L11" t="inlineStr">
        <is>
          <t>0001769628-25-000062</t>
        </is>
      </c>
    </row>
    <row r="12">
      <c r="A12" t="inlineStr">
        <is>
          <t>capex</t>
        </is>
      </c>
      <c r="B12" t="inlineStr">
        <is>
          <t>PaymentsToAcquirePropertyPlantAndEquipment</t>
        </is>
      </c>
      <c r="C12" t="inlineStr">
        <is>
          <t>us-gaap</t>
        </is>
      </c>
      <c r="D12" t="inlineStr">
        <is>
          <t>USD</t>
        </is>
      </c>
      <c r="E12" t="inlineStr">
        <is>
          <t>2025-01-01</t>
        </is>
      </c>
      <c r="F12" t="inlineStr">
        <is>
          <t>2025-12-31</t>
        </is>
      </c>
      <c r="G12" t="n">
        <v>10309000000</v>
      </c>
      <c r="H12" t="n">
        <v>2025</v>
      </c>
      <c r="I12" t="inlineStr">
        <is>
          <t>FY</t>
        </is>
      </c>
      <c r="J12" t="inlineStr">
        <is>
          <t>10-K</t>
        </is>
      </c>
      <c r="K12" t="inlineStr">
        <is>
          <t>2026-03-02</t>
        </is>
      </c>
      <c r="L12" t="inlineStr">
        <is>
          <t>0001769628-26-000104</t>
        </is>
      </c>
      <c r="M12" t="inlineStr">
        <is>
          <t>CY2025</t>
        </is>
      </c>
    </row>
    <row r="13">
      <c r="A13" t="inlineStr">
        <is>
          <t>capex</t>
        </is>
      </c>
      <c r="B13" t="inlineStr">
        <is>
          <t>PaymentsToAcquirePropertyPlantAndEquipment</t>
        </is>
      </c>
      <c r="C13" t="inlineStr">
        <is>
          <t>us-gaap</t>
        </is>
      </c>
      <c r="D13" t="inlineStr">
        <is>
          <t>USD</t>
        </is>
      </c>
      <c r="E13" t="inlineStr">
        <is>
          <t>2026-01-01</t>
        </is>
      </c>
      <c r="F13" t="inlineStr">
        <is>
          <t>2026-03-31</t>
        </is>
      </c>
      <c r="G13" t="n">
        <v>7695000000</v>
      </c>
      <c r="H13" t="n">
        <v>2026</v>
      </c>
      <c r="I13" t="inlineStr">
        <is>
          <t>Q1</t>
        </is>
      </c>
      <c r="J13" t="inlineStr">
        <is>
          <t>10-Q</t>
        </is>
      </c>
      <c r="K13" t="inlineStr">
        <is>
          <t>2026-05-08</t>
        </is>
      </c>
      <c r="L13" t="inlineStr">
        <is>
          <t>0001769628-26-000222</t>
        </is>
      </c>
      <c r="M13" t="inlineStr">
        <is>
          <t>CY2026Q1</t>
        </is>
      </c>
    </row>
    <row r="14">
      <c r="A14" t="inlineStr">
        <is>
          <t>capex</t>
        </is>
      </c>
      <c r="B14" t="inlineStr">
        <is>
          <t>PaymentsToAcquirePropertyPlantAndEquipment</t>
        </is>
      </c>
      <c r="C14" t="inlineStr">
        <is>
          <t>us-gaap</t>
        </is>
      </c>
      <c r="D14" t="inlineStr">
        <is>
          <t>USD</t>
        </is>
      </c>
      <c r="E14" t="inlineStr">
        <is>
          <t>2026-01-01</t>
        </is>
      </c>
      <c r="F14" t="inlineStr">
        <is>
          <t>2026-06-30</t>
        </is>
      </c>
      <c r="G14" t="n">
        <v>14117000000</v>
      </c>
      <c r="H14" t="n">
        <v>2026</v>
      </c>
      <c r="I14" t="inlineStr">
        <is>
          <t>Q2</t>
        </is>
      </c>
      <c r="J14" t="inlineStr">
        <is>
          <t>10-Q</t>
        </is>
      </c>
      <c r="K14" t="inlineStr">
        <is>
          <t>2026-08-12</t>
        </is>
      </c>
      <c r="L14" t="inlineStr">
        <is>
          <t>0001769628-26-000366</t>
        </is>
      </c>
    </row>
    <row r="15">
      <c r="A15" t="inlineStr">
        <is>
          <t>cash</t>
        </is>
      </c>
      <c r="B15" t="inlineStr">
        <is>
          <t>CashAndCashEquivalentsAtCarryingValue</t>
        </is>
      </c>
      <c r="C15" t="inlineStr">
        <is>
          <t>us-gaap</t>
        </is>
      </c>
      <c r="D15" t="inlineStr">
        <is>
          <t>USD</t>
        </is>
      </c>
      <c r="F15" t="inlineStr">
        <is>
          <t>2023-12-31</t>
        </is>
      </c>
      <c r="G15" t="n">
        <v>217000000</v>
      </c>
      <c r="H15" t="n">
        <v>2025</v>
      </c>
      <c r="I15" t="inlineStr">
        <is>
          <t>FY</t>
        </is>
      </c>
      <c r="J15" t="inlineStr">
        <is>
          <t>10-K</t>
        </is>
      </c>
      <c r="K15" t="inlineStr">
        <is>
          <t>2026-03-02</t>
        </is>
      </c>
      <c r="L15" t="inlineStr">
        <is>
          <t>0001769628-26-000104</t>
        </is>
      </c>
      <c r="M15" t="inlineStr">
        <is>
          <t>CY2023Q4I</t>
        </is>
      </c>
    </row>
    <row r="16">
      <c r="A16" t="inlineStr">
        <is>
          <t>cash</t>
        </is>
      </c>
      <c r="B16" t="inlineStr">
        <is>
          <t>CashAndCashEquivalentsAtCarryingValue</t>
        </is>
      </c>
      <c r="C16" t="inlineStr">
        <is>
          <t>us-gaap</t>
        </is>
      </c>
      <c r="D16" t="inlineStr">
        <is>
          <t>USD</t>
        </is>
      </c>
      <c r="F16" t="inlineStr">
        <is>
          <t>2024-03-31</t>
        </is>
      </c>
      <c r="G16" t="n">
        <v>1306872000</v>
      </c>
      <c r="H16" t="n">
        <v>2025</v>
      </c>
      <c r="I16" t="inlineStr">
        <is>
          <t>Q1</t>
        </is>
      </c>
      <c r="J16" t="inlineStr">
        <is>
          <t>10-Q</t>
        </is>
      </c>
      <c r="K16" t="inlineStr">
        <is>
          <t>2025-05-15</t>
        </is>
      </c>
      <c r="L16" t="inlineStr">
        <is>
          <t>0001769628-25-000014</t>
        </is>
      </c>
      <c r="M16" t="inlineStr">
        <is>
          <t>CY2024Q1I</t>
        </is>
      </c>
    </row>
    <row r="17">
      <c r="A17" t="inlineStr">
        <is>
          <t>cash</t>
        </is>
      </c>
      <c r="B17" t="inlineStr">
        <is>
          <t>CashAndCashEquivalentsAtCarryingValue</t>
        </is>
      </c>
      <c r="C17" t="inlineStr">
        <is>
          <t>us-gaap</t>
        </is>
      </c>
      <c r="D17" t="inlineStr">
        <is>
          <t>USD</t>
        </is>
      </c>
      <c r="F17" t="inlineStr">
        <is>
          <t>2024-06-30</t>
        </is>
      </c>
      <c r="G17" t="n">
        <v>1028044000</v>
      </c>
      <c r="H17" t="n">
        <v>2025</v>
      </c>
      <c r="I17" t="inlineStr">
        <is>
          <t>Q2</t>
        </is>
      </c>
      <c r="J17" t="inlineStr">
        <is>
          <t>10-Q</t>
        </is>
      </c>
      <c r="K17" t="inlineStr">
        <is>
          <t>2025-08-13</t>
        </is>
      </c>
      <c r="L17" t="inlineStr">
        <is>
          <t>0001769628-25-000041</t>
        </is>
      </c>
      <c r="M17" t="inlineStr">
        <is>
          <t>CY2024Q2I</t>
        </is>
      </c>
    </row>
    <row r="18">
      <c r="A18" t="inlineStr">
        <is>
          <t>cash</t>
        </is>
      </c>
      <c r="B18" t="inlineStr">
        <is>
          <t>CashAndCashEquivalentsAtCarryingValue</t>
        </is>
      </c>
      <c r="C18" t="inlineStr">
        <is>
          <t>us-gaap</t>
        </is>
      </c>
      <c r="D18" t="inlineStr">
        <is>
          <t>USD</t>
        </is>
      </c>
      <c r="F18" t="inlineStr">
        <is>
          <t>2024-09-30</t>
        </is>
      </c>
      <c r="G18" t="n">
        <v>1355216000</v>
      </c>
      <c r="H18" t="n">
        <v>2025</v>
      </c>
      <c r="I18" t="inlineStr">
        <is>
          <t>Q3</t>
        </is>
      </c>
      <c r="J18" t="inlineStr">
        <is>
          <t>10-Q</t>
        </is>
      </c>
      <c r="K18" t="inlineStr">
        <is>
          <t>2025-11-13</t>
        </is>
      </c>
      <c r="L18" t="inlineStr">
        <is>
          <t>0001769628-25-000062</t>
        </is>
      </c>
      <c r="M18" t="inlineStr">
        <is>
          <t>CY2024Q3I</t>
        </is>
      </c>
    </row>
    <row r="19">
      <c r="A19" t="inlineStr">
        <is>
          <t>cash</t>
        </is>
      </c>
      <c r="B19" t="inlineStr">
        <is>
          <t>CashAndCashEquivalentsAtCarryingValue</t>
        </is>
      </c>
      <c r="C19" t="inlineStr">
        <is>
          <t>us-gaap</t>
        </is>
      </c>
      <c r="D19" t="inlineStr">
        <is>
          <t>USD</t>
        </is>
      </c>
      <c r="F19" t="inlineStr">
        <is>
          <t>2024-12-31</t>
        </is>
      </c>
      <c r="G19" t="n">
        <v>1361083000</v>
      </c>
      <c r="H19" t="n">
        <v>2025</v>
      </c>
      <c r="I19" t="inlineStr">
        <is>
          <t>Q1</t>
        </is>
      </c>
      <c r="J19" t="inlineStr">
        <is>
          <t>10-Q</t>
        </is>
      </c>
      <c r="K19" t="inlineStr">
        <is>
          <t>2025-05-15</t>
        </is>
      </c>
      <c r="L19" t="inlineStr">
        <is>
          <t>0001769628-25-000014</t>
        </is>
      </c>
    </row>
    <row r="20">
      <c r="A20" t="inlineStr">
        <is>
          <t>cash</t>
        </is>
      </c>
      <c r="B20" t="inlineStr">
        <is>
          <t>CashAndCashEquivalentsAtCarryingValue</t>
        </is>
      </c>
      <c r="C20" t="inlineStr">
        <is>
          <t>us-gaap</t>
        </is>
      </c>
      <c r="D20" t="inlineStr">
        <is>
          <t>USD</t>
        </is>
      </c>
      <c r="F20" t="inlineStr">
        <is>
          <t>2024-12-31</t>
        </is>
      </c>
      <c r="G20" t="n">
        <v>1361083000</v>
      </c>
      <c r="H20" t="n">
        <v>2025</v>
      </c>
      <c r="I20" t="inlineStr">
        <is>
          <t>Q2</t>
        </is>
      </c>
      <c r="J20" t="inlineStr">
        <is>
          <t>10-Q</t>
        </is>
      </c>
      <c r="K20" t="inlineStr">
        <is>
          <t>2025-08-13</t>
        </is>
      </c>
      <c r="L20" t="inlineStr">
        <is>
          <t>0001769628-25-000041</t>
        </is>
      </c>
    </row>
    <row r="21">
      <c r="A21" t="inlineStr">
        <is>
          <t>cash</t>
        </is>
      </c>
      <c r="B21" t="inlineStr">
        <is>
          <t>CashAndCashEquivalentsAtCarryingValue</t>
        </is>
      </c>
      <c r="C21" t="inlineStr">
        <is>
          <t>us-gaap</t>
        </is>
      </c>
      <c r="D21" t="inlineStr">
        <is>
          <t>USD</t>
        </is>
      </c>
      <c r="F21" t="inlineStr">
        <is>
          <t>2024-12-31</t>
        </is>
      </c>
      <c r="G21" t="n">
        <v>1361083000</v>
      </c>
      <c r="H21" t="n">
        <v>2025</v>
      </c>
      <c r="I21" t="inlineStr">
        <is>
          <t>Q3</t>
        </is>
      </c>
      <c r="J21" t="inlineStr">
        <is>
          <t>10-Q</t>
        </is>
      </c>
      <c r="K21" t="inlineStr">
        <is>
          <t>2025-11-13</t>
        </is>
      </c>
      <c r="L21" t="inlineStr">
        <is>
          <t>0001769628-25-000062</t>
        </is>
      </c>
    </row>
    <row r="22">
      <c r="A22" t="inlineStr">
        <is>
          <t>cash</t>
        </is>
      </c>
      <c r="B22" t="inlineStr">
        <is>
          <t>CashAndCashEquivalentsAtCarryingValue</t>
        </is>
      </c>
      <c r="C22" t="inlineStr">
        <is>
          <t>us-gaap</t>
        </is>
      </c>
      <c r="D22" t="inlineStr">
        <is>
          <t>USD</t>
        </is>
      </c>
      <c r="F22" t="inlineStr">
        <is>
          <t>2024-12-31</t>
        </is>
      </c>
      <c r="G22" t="n">
        <v>1361000000</v>
      </c>
      <c r="H22" t="n">
        <v>2025</v>
      </c>
      <c r="I22" t="inlineStr">
        <is>
          <t>FY</t>
        </is>
      </c>
      <c r="J22" t="inlineStr">
        <is>
          <t>10-K</t>
        </is>
      </c>
      <c r="K22" t="inlineStr">
        <is>
          <t>2026-03-02</t>
        </is>
      </c>
      <c r="L22" t="inlineStr">
        <is>
          <t>0001769628-26-000104</t>
        </is>
      </c>
      <c r="M22" t="inlineStr">
        <is>
          <t>CY2024Q4I</t>
        </is>
      </c>
    </row>
    <row r="23">
      <c r="A23" t="inlineStr">
        <is>
          <t>cash</t>
        </is>
      </c>
      <c r="B23" t="inlineStr">
        <is>
          <t>CashAndCashEquivalentsAtCarryingValue</t>
        </is>
      </c>
      <c r="C23" t="inlineStr">
        <is>
          <t>us-gaap</t>
        </is>
      </c>
      <c r="D23" t="inlineStr">
        <is>
          <t>USD</t>
        </is>
      </c>
      <c r="F23" t="inlineStr">
        <is>
          <t>2025-03-31</t>
        </is>
      </c>
      <c r="G23" t="n">
        <v>1276456000</v>
      </c>
      <c r="H23" t="n">
        <v>2025</v>
      </c>
      <c r="I23" t="inlineStr">
        <is>
          <t>Q1</t>
        </is>
      </c>
      <c r="J23" t="inlineStr">
        <is>
          <t>10-Q</t>
        </is>
      </c>
      <c r="K23" t="inlineStr">
        <is>
          <t>2025-05-15</t>
        </is>
      </c>
      <c r="L23" t="inlineStr">
        <is>
          <t>0001769628-25-000014</t>
        </is>
      </c>
    </row>
    <row r="24">
      <c r="A24" t="inlineStr">
        <is>
          <t>cash</t>
        </is>
      </c>
      <c r="B24" t="inlineStr">
        <is>
          <t>CashAndCashEquivalentsAtCarryingValue</t>
        </is>
      </c>
      <c r="C24" t="inlineStr">
        <is>
          <t>us-gaap</t>
        </is>
      </c>
      <c r="D24" t="inlineStr">
        <is>
          <t>USD</t>
        </is>
      </c>
      <c r="F24" t="inlineStr">
        <is>
          <t>2025-03-31</t>
        </is>
      </c>
      <c r="G24" t="n">
        <v>1276000000</v>
      </c>
      <c r="H24" t="n">
        <v>2026</v>
      </c>
      <c r="I24" t="inlineStr">
        <is>
          <t>Q1</t>
        </is>
      </c>
      <c r="J24" t="inlineStr">
        <is>
          <t>10-Q</t>
        </is>
      </c>
      <c r="K24" t="inlineStr">
        <is>
          <t>2026-05-08</t>
        </is>
      </c>
      <c r="L24" t="inlineStr">
        <is>
          <t>0001769628-26-000222</t>
        </is>
      </c>
      <c r="M24" t="inlineStr">
        <is>
          <t>CY2025Q1I</t>
        </is>
      </c>
    </row>
    <row r="25">
      <c r="A25" t="inlineStr">
        <is>
          <t>cash</t>
        </is>
      </c>
      <c r="B25" t="inlineStr">
        <is>
          <t>CashAndCashEquivalentsAtCarryingValue</t>
        </is>
      </c>
      <c r="C25" t="inlineStr">
        <is>
          <t>us-gaap</t>
        </is>
      </c>
      <c r="D25" t="inlineStr">
        <is>
          <t>USD</t>
        </is>
      </c>
      <c r="F25" t="inlineStr">
        <is>
          <t>2025-06-30</t>
        </is>
      </c>
      <c r="G25" t="n">
        <v>1152883000</v>
      </c>
      <c r="H25" t="n">
        <v>2025</v>
      </c>
      <c r="I25" t="inlineStr">
        <is>
          <t>Q2</t>
        </is>
      </c>
      <c r="J25" t="inlineStr">
        <is>
          <t>10-Q</t>
        </is>
      </c>
      <c r="K25" t="inlineStr">
        <is>
          <t>2025-08-13</t>
        </is>
      </c>
      <c r="L25" t="inlineStr">
        <is>
          <t>0001769628-25-000041</t>
        </is>
      </c>
    </row>
    <row r="26">
      <c r="A26" t="inlineStr">
        <is>
          <t>cash</t>
        </is>
      </c>
      <c r="B26" t="inlineStr">
        <is>
          <t>CashAndCashEquivalentsAtCarryingValue</t>
        </is>
      </c>
      <c r="C26" t="inlineStr">
        <is>
          <t>us-gaap</t>
        </is>
      </c>
      <c r="D26" t="inlineStr">
        <is>
          <t>USD</t>
        </is>
      </c>
      <c r="F26" t="inlineStr">
        <is>
          <t>2025-06-30</t>
        </is>
      </c>
      <c r="G26" t="n">
        <v>1153000000</v>
      </c>
      <c r="H26" t="n">
        <v>2026</v>
      </c>
      <c r="I26" t="inlineStr">
        <is>
          <t>Q2</t>
        </is>
      </c>
      <c r="J26" t="inlineStr">
        <is>
          <t>10-Q</t>
        </is>
      </c>
      <c r="K26" t="inlineStr">
        <is>
          <t>2026-08-12</t>
        </is>
      </c>
      <c r="L26" t="inlineStr">
        <is>
          <t>0001769628-26-000366</t>
        </is>
      </c>
      <c r="M26" t="inlineStr">
        <is>
          <t>CY2025Q2I</t>
        </is>
      </c>
    </row>
    <row r="27">
      <c r="A27" t="inlineStr">
        <is>
          <t>cash</t>
        </is>
      </c>
      <c r="B27" t="inlineStr">
        <is>
          <t>CashAndCashEquivalentsAtCarryingValue</t>
        </is>
      </c>
      <c r="C27" t="inlineStr">
        <is>
          <t>us-gaap</t>
        </is>
      </c>
      <c r="D27" t="inlineStr">
        <is>
          <t>USD</t>
        </is>
      </c>
      <c r="F27" t="inlineStr">
        <is>
          <t>2025-09-30</t>
        </is>
      </c>
      <c r="G27" t="n">
        <v>1894399000</v>
      </c>
      <c r="H27" t="n">
        <v>2025</v>
      </c>
      <c r="I27" t="inlineStr">
        <is>
          <t>Q3</t>
        </is>
      </c>
      <c r="J27" t="inlineStr">
        <is>
          <t>10-Q</t>
        </is>
      </c>
      <c r="K27" t="inlineStr">
        <is>
          <t>2025-11-13</t>
        </is>
      </c>
      <c r="L27" t="inlineStr">
        <is>
          <t>0001769628-25-000062</t>
        </is>
      </c>
      <c r="M27" t="inlineStr">
        <is>
          <t>CY2025Q3I</t>
        </is>
      </c>
    </row>
    <row r="28">
      <c r="A28" t="inlineStr">
        <is>
          <t>cash</t>
        </is>
      </c>
      <c r="B28" t="inlineStr">
        <is>
          <t>CashAndCashEquivalentsAtCarryingValue</t>
        </is>
      </c>
      <c r="C28" t="inlineStr">
        <is>
          <t>us-gaap</t>
        </is>
      </c>
      <c r="D28" t="inlineStr">
        <is>
          <t>USD</t>
        </is>
      </c>
      <c r="F28" t="inlineStr">
        <is>
          <t>2025-12-31</t>
        </is>
      </c>
      <c r="G28" t="n">
        <v>3127000000</v>
      </c>
      <c r="H28" t="n">
        <v>2025</v>
      </c>
      <c r="I28" t="inlineStr">
        <is>
          <t>FY</t>
        </is>
      </c>
      <c r="J28" t="inlineStr">
        <is>
          <t>10-K</t>
        </is>
      </c>
      <c r="K28" t="inlineStr">
        <is>
          <t>2026-03-02</t>
        </is>
      </c>
      <c r="L28" t="inlineStr">
        <is>
          <t>0001769628-26-000104</t>
        </is>
      </c>
    </row>
    <row r="29">
      <c r="A29" t="inlineStr">
        <is>
          <t>cash</t>
        </is>
      </c>
      <c r="B29" t="inlineStr">
        <is>
          <t>CashAndCashEquivalentsAtCarryingValue</t>
        </is>
      </c>
      <c r="C29" t="inlineStr">
        <is>
          <t>us-gaap</t>
        </is>
      </c>
      <c r="D29" t="inlineStr">
        <is>
          <t>USD</t>
        </is>
      </c>
      <c r="F29" t="inlineStr">
        <is>
          <t>2025-12-31</t>
        </is>
      </c>
      <c r="G29" t="n">
        <v>3127000000</v>
      </c>
      <c r="H29" t="n">
        <v>2026</v>
      </c>
      <c r="I29" t="inlineStr">
        <is>
          <t>Q1</t>
        </is>
      </c>
      <c r="J29" t="inlineStr">
        <is>
          <t>10-Q</t>
        </is>
      </c>
      <c r="K29" t="inlineStr">
        <is>
          <t>2026-05-08</t>
        </is>
      </c>
      <c r="L29" t="inlineStr">
        <is>
          <t>0001769628-26-000222</t>
        </is>
      </c>
    </row>
    <row r="30">
      <c r="A30" t="inlineStr">
        <is>
          <t>cash</t>
        </is>
      </c>
      <c r="B30" t="inlineStr">
        <is>
          <t>CashAndCashEquivalentsAtCarryingValue</t>
        </is>
      </c>
      <c r="C30" t="inlineStr">
        <is>
          <t>us-gaap</t>
        </is>
      </c>
      <c r="D30" t="inlineStr">
        <is>
          <t>USD</t>
        </is>
      </c>
      <c r="F30" t="inlineStr">
        <is>
          <t>2025-12-31</t>
        </is>
      </c>
      <c r="G30" t="n">
        <v>3127000000</v>
      </c>
      <c r="H30" t="n">
        <v>2026</v>
      </c>
      <c r="I30" t="inlineStr">
        <is>
          <t>Q2</t>
        </is>
      </c>
      <c r="J30" t="inlineStr">
        <is>
          <t>10-Q</t>
        </is>
      </c>
      <c r="K30" t="inlineStr">
        <is>
          <t>2026-08-12</t>
        </is>
      </c>
      <c r="L30" t="inlineStr">
        <is>
          <t>0001769628-26-000366</t>
        </is>
      </c>
      <c r="M30" t="inlineStr">
        <is>
          <t>CY2025Q4I</t>
        </is>
      </c>
    </row>
    <row r="31">
      <c r="A31" t="inlineStr">
        <is>
          <t>cash</t>
        </is>
      </c>
      <c r="B31" t="inlineStr">
        <is>
          <t>CashAndCashEquivalentsAtCarryingValue</t>
        </is>
      </c>
      <c r="C31" t="inlineStr">
        <is>
          <t>us-gaap</t>
        </is>
      </c>
      <c r="D31" t="inlineStr">
        <is>
          <t>USD</t>
        </is>
      </c>
      <c r="F31" t="inlineStr">
        <is>
          <t>2026-03-31</t>
        </is>
      </c>
      <c r="G31" t="n">
        <v>2244000000</v>
      </c>
      <c r="H31" t="n">
        <v>2026</v>
      </c>
      <c r="I31" t="inlineStr">
        <is>
          <t>Q1</t>
        </is>
      </c>
      <c r="J31" t="inlineStr">
        <is>
          <t>10-Q</t>
        </is>
      </c>
      <c r="K31" t="inlineStr">
        <is>
          <t>2026-05-08</t>
        </is>
      </c>
      <c r="L31" t="inlineStr">
        <is>
          <t>0001769628-26-000222</t>
        </is>
      </c>
      <c r="M31" t="inlineStr">
        <is>
          <t>CY2026Q1I</t>
        </is>
      </c>
    </row>
    <row r="32">
      <c r="A32" t="inlineStr">
        <is>
          <t>cash</t>
        </is>
      </c>
      <c r="B32" t="inlineStr">
        <is>
          <t>CashAndCashEquivalentsAtCarryingValue</t>
        </is>
      </c>
      <c r="C32" t="inlineStr">
        <is>
          <t>us-gaap</t>
        </is>
      </c>
      <c r="D32" t="inlineStr">
        <is>
          <t>USD</t>
        </is>
      </c>
      <c r="F32" t="inlineStr">
        <is>
          <t>2026-06-30</t>
        </is>
      </c>
      <c r="G32" t="n">
        <v>5524000000</v>
      </c>
      <c r="H32" t="n">
        <v>2026</v>
      </c>
      <c r="I32" t="inlineStr">
        <is>
          <t>Q2</t>
        </is>
      </c>
      <c r="J32" t="inlineStr">
        <is>
          <t>10-Q</t>
        </is>
      </c>
      <c r="K32" t="inlineStr">
        <is>
          <t>2026-08-12</t>
        </is>
      </c>
      <c r="L32" t="inlineStr">
        <is>
          <t>0001769628-26-000366</t>
        </is>
      </c>
      <c r="M32" t="inlineStr">
        <is>
          <t>CY2026Q2I</t>
        </is>
      </c>
    </row>
    <row r="33">
      <c r="A33" t="inlineStr">
        <is>
          <t>cfo</t>
        </is>
      </c>
      <c r="B33" t="inlineStr">
        <is>
          <t>NetCashProvidedByUsedInOperatingActivities</t>
        </is>
      </c>
      <c r="C33" t="inlineStr">
        <is>
          <t>us-gaap</t>
        </is>
      </c>
      <c r="D33" t="inlineStr">
        <is>
          <t>USD</t>
        </is>
      </c>
      <c r="E33" t="inlineStr">
        <is>
          <t>2023-01-01</t>
        </is>
      </c>
      <c r="F33" t="inlineStr">
        <is>
          <t>2023-12-31</t>
        </is>
      </c>
      <c r="G33" t="n">
        <v>1833000000</v>
      </c>
      <c r="H33" t="n">
        <v>2025</v>
      </c>
      <c r="I33" t="inlineStr">
        <is>
          <t>FY</t>
        </is>
      </c>
      <c r="J33" t="inlineStr">
        <is>
          <t>10-K</t>
        </is>
      </c>
      <c r="K33" t="inlineStr">
        <is>
          <t>2026-03-02</t>
        </is>
      </c>
      <c r="L33" t="inlineStr">
        <is>
          <t>0001769628-26-000104</t>
        </is>
      </c>
      <c r="M33" t="inlineStr">
        <is>
          <t>CY2023</t>
        </is>
      </c>
    </row>
    <row r="34">
      <c r="A34" t="inlineStr">
        <is>
          <t>cfo</t>
        </is>
      </c>
      <c r="B34" t="inlineStr">
        <is>
          <t>NetCashProvidedByUsedInOperatingActivities</t>
        </is>
      </c>
      <c r="C34" t="inlineStr">
        <is>
          <t>us-gaap</t>
        </is>
      </c>
      <c r="D34" t="inlineStr">
        <is>
          <t>USD</t>
        </is>
      </c>
      <c r="E34" t="inlineStr">
        <is>
          <t>2024-01-01</t>
        </is>
      </c>
      <c r="F34" t="inlineStr">
        <is>
          <t>2024-03-31</t>
        </is>
      </c>
      <c r="G34" t="n">
        <v>2039038000</v>
      </c>
      <c r="H34" t="n">
        <v>2025</v>
      </c>
      <c r="I34" t="inlineStr">
        <is>
          <t>Q1</t>
        </is>
      </c>
      <c r="J34" t="inlineStr">
        <is>
          <t>10-Q</t>
        </is>
      </c>
      <c r="K34" t="inlineStr">
        <is>
          <t>2025-05-15</t>
        </is>
      </c>
      <c r="L34" t="inlineStr">
        <is>
          <t>0001769628-25-000014</t>
        </is>
      </c>
      <c r="M34" t="inlineStr">
        <is>
          <t>CY2024Q1</t>
        </is>
      </c>
    </row>
    <row r="35">
      <c r="A35" t="inlineStr">
        <is>
          <t>cfo</t>
        </is>
      </c>
      <c r="B35" t="inlineStr">
        <is>
          <t>NetCashProvidedByUsedInOperatingActivities</t>
        </is>
      </c>
      <c r="C35" t="inlineStr">
        <is>
          <t>us-gaap</t>
        </is>
      </c>
      <c r="D35" t="inlineStr">
        <is>
          <t>USD</t>
        </is>
      </c>
      <c r="E35" t="inlineStr">
        <is>
          <t>2024-01-01</t>
        </is>
      </c>
      <c r="F35" t="inlineStr">
        <is>
          <t>2024-06-30</t>
        </is>
      </c>
      <c r="G35" t="n">
        <v>1921214000</v>
      </c>
      <c r="H35" t="n">
        <v>2025</v>
      </c>
      <c r="I35" t="inlineStr">
        <is>
          <t>Q2</t>
        </is>
      </c>
      <c r="J35" t="inlineStr">
        <is>
          <t>10-Q</t>
        </is>
      </c>
      <c r="K35" t="inlineStr">
        <is>
          <t>2025-08-13</t>
        </is>
      </c>
      <c r="L35" t="inlineStr">
        <is>
          <t>0001769628-25-000041</t>
        </is>
      </c>
    </row>
    <row r="36">
      <c r="A36" t="inlineStr">
        <is>
          <t>cfo</t>
        </is>
      </c>
      <c r="B36" t="inlineStr">
        <is>
          <t>NetCashProvidedByUsedInOperatingActivities</t>
        </is>
      </c>
      <c r="C36" t="inlineStr">
        <is>
          <t>us-gaap</t>
        </is>
      </c>
      <c r="D36" t="inlineStr">
        <is>
          <t>USD</t>
        </is>
      </c>
      <c r="E36" t="inlineStr">
        <is>
          <t>2024-01-01</t>
        </is>
      </c>
      <c r="F36" t="inlineStr">
        <is>
          <t>2024-09-30</t>
        </is>
      </c>
      <c r="G36" t="n">
        <v>2562436000</v>
      </c>
      <c r="H36" t="n">
        <v>2025</v>
      </c>
      <c r="I36" t="inlineStr">
        <is>
          <t>Q3</t>
        </is>
      </c>
      <c r="J36" t="inlineStr">
        <is>
          <t>10-Q</t>
        </is>
      </c>
      <c r="K36" t="inlineStr">
        <is>
          <t>2025-11-13</t>
        </is>
      </c>
      <c r="L36" t="inlineStr">
        <is>
          <t>0001769628-25-000062</t>
        </is>
      </c>
    </row>
    <row r="37">
      <c r="A37" t="inlineStr">
        <is>
          <t>cfo</t>
        </is>
      </c>
      <c r="B37" t="inlineStr">
        <is>
          <t>NetCashProvidedByUsedInOperatingActivities</t>
        </is>
      </c>
      <c r="C37" t="inlineStr">
        <is>
          <t>us-gaap</t>
        </is>
      </c>
      <c r="D37" t="inlineStr">
        <is>
          <t>USD</t>
        </is>
      </c>
      <c r="E37" t="inlineStr">
        <is>
          <t>2024-01-01</t>
        </is>
      </c>
      <c r="F37" t="inlineStr">
        <is>
          <t>2024-12-31</t>
        </is>
      </c>
      <c r="G37" t="n">
        <v>2749000000</v>
      </c>
      <c r="H37" t="n">
        <v>2025</v>
      </c>
      <c r="I37" t="inlineStr">
        <is>
          <t>FY</t>
        </is>
      </c>
      <c r="J37" t="inlineStr">
        <is>
          <t>10-K</t>
        </is>
      </c>
      <c r="K37" t="inlineStr">
        <is>
          <t>2026-03-02</t>
        </is>
      </c>
      <c r="L37" t="inlineStr">
        <is>
          <t>0001769628-26-000104</t>
        </is>
      </c>
      <c r="M37" t="inlineStr">
        <is>
          <t>CY2024</t>
        </is>
      </c>
    </row>
    <row r="38">
      <c r="A38" t="inlineStr">
        <is>
          <t>cfo</t>
        </is>
      </c>
      <c r="B38" t="inlineStr">
        <is>
          <t>NetCashProvidedByUsedInOperatingActivities</t>
        </is>
      </c>
      <c r="C38" t="inlineStr">
        <is>
          <t>us-gaap</t>
        </is>
      </c>
      <c r="D38" t="inlineStr">
        <is>
          <t>USD</t>
        </is>
      </c>
      <c r="E38" t="inlineStr">
        <is>
          <t>2025-01-01</t>
        </is>
      </c>
      <c r="F38" t="inlineStr">
        <is>
          <t>2025-03-31</t>
        </is>
      </c>
      <c r="G38" t="n">
        <v>61168000</v>
      </c>
      <c r="H38" t="n">
        <v>2025</v>
      </c>
      <c r="I38" t="inlineStr">
        <is>
          <t>Q1</t>
        </is>
      </c>
      <c r="J38" t="inlineStr">
        <is>
          <t>10-Q</t>
        </is>
      </c>
      <c r="K38" t="inlineStr">
        <is>
          <t>2025-05-15</t>
        </is>
      </c>
      <c r="L38" t="inlineStr">
        <is>
          <t>0001769628-25-000014</t>
        </is>
      </c>
    </row>
    <row r="39">
      <c r="A39" t="inlineStr">
        <is>
          <t>cfo</t>
        </is>
      </c>
      <c r="B39" t="inlineStr">
        <is>
          <t>NetCashProvidedByUsedInOperatingActivities</t>
        </is>
      </c>
      <c r="C39" t="inlineStr">
        <is>
          <t>us-gaap</t>
        </is>
      </c>
      <c r="D39" t="inlineStr">
        <is>
          <t>USD</t>
        </is>
      </c>
      <c r="E39" t="inlineStr">
        <is>
          <t>2025-01-01</t>
        </is>
      </c>
      <c r="F39" t="inlineStr">
        <is>
          <t>2025-03-31</t>
        </is>
      </c>
      <c r="G39" t="n">
        <v>61000000</v>
      </c>
      <c r="H39" t="n">
        <v>2026</v>
      </c>
      <c r="I39" t="inlineStr">
        <is>
          <t>Q1</t>
        </is>
      </c>
      <c r="J39" t="inlineStr">
        <is>
          <t>10-Q</t>
        </is>
      </c>
      <c r="K39" t="inlineStr">
        <is>
          <t>2026-05-08</t>
        </is>
      </c>
      <c r="L39" t="inlineStr">
        <is>
          <t>0001769628-26-000222</t>
        </is>
      </c>
      <c r="M39" t="inlineStr">
        <is>
          <t>CY2025Q1</t>
        </is>
      </c>
    </row>
    <row r="40">
      <c r="A40" t="inlineStr">
        <is>
          <t>cfo</t>
        </is>
      </c>
      <c r="B40" t="inlineStr">
        <is>
          <t>NetCashProvidedByUsedInOperatingActivities</t>
        </is>
      </c>
      <c r="C40" t="inlineStr">
        <is>
          <t>us-gaap</t>
        </is>
      </c>
      <c r="D40" t="inlineStr">
        <is>
          <t>USD</t>
        </is>
      </c>
      <c r="E40" t="inlineStr">
        <is>
          <t>2025-01-01</t>
        </is>
      </c>
      <c r="F40" t="inlineStr">
        <is>
          <t>2025-06-30</t>
        </is>
      </c>
      <c r="G40" t="n">
        <v>-190083000</v>
      </c>
      <c r="H40" t="n">
        <v>2025</v>
      </c>
      <c r="I40" t="inlineStr">
        <is>
          <t>Q2</t>
        </is>
      </c>
      <c r="J40" t="inlineStr">
        <is>
          <t>10-Q</t>
        </is>
      </c>
      <c r="K40" t="inlineStr">
        <is>
          <t>2025-08-13</t>
        </is>
      </c>
      <c r="L40" t="inlineStr">
        <is>
          <t>0001769628-25-000041</t>
        </is>
      </c>
    </row>
    <row r="41">
      <c r="A41" t="inlineStr">
        <is>
          <t>cfo</t>
        </is>
      </c>
      <c r="B41" t="inlineStr">
        <is>
          <t>NetCashProvidedByUsedInOperatingActivities</t>
        </is>
      </c>
      <c r="C41" t="inlineStr">
        <is>
          <t>us-gaap</t>
        </is>
      </c>
      <c r="D41" t="inlineStr">
        <is>
          <t>USD</t>
        </is>
      </c>
      <c r="E41" t="inlineStr">
        <is>
          <t>2025-01-01</t>
        </is>
      </c>
      <c r="F41" t="inlineStr">
        <is>
          <t>2025-06-30</t>
        </is>
      </c>
      <c r="G41" t="n">
        <v>-190000000</v>
      </c>
      <c r="H41" t="n">
        <v>2026</v>
      </c>
      <c r="I41" t="inlineStr">
        <is>
          <t>Q2</t>
        </is>
      </c>
      <c r="J41" t="inlineStr">
        <is>
          <t>10-Q</t>
        </is>
      </c>
      <c r="K41" t="inlineStr">
        <is>
          <t>2026-08-12</t>
        </is>
      </c>
      <c r="L41" t="inlineStr">
        <is>
          <t>0001769628-26-000366</t>
        </is>
      </c>
    </row>
    <row r="42">
      <c r="A42" t="inlineStr">
        <is>
          <t>cfo</t>
        </is>
      </c>
      <c r="B42" t="inlineStr">
        <is>
          <t>NetCashProvidedByUsedInOperatingActivities</t>
        </is>
      </c>
      <c r="C42" t="inlineStr">
        <is>
          <t>us-gaap</t>
        </is>
      </c>
      <c r="D42" t="inlineStr">
        <is>
          <t>USD</t>
        </is>
      </c>
      <c r="E42" t="inlineStr">
        <is>
          <t>2025-01-01</t>
        </is>
      </c>
      <c r="F42" t="inlineStr">
        <is>
          <t>2025-09-30</t>
        </is>
      </c>
      <c r="G42" t="n">
        <v>1499051000</v>
      </c>
      <c r="H42" t="n">
        <v>2025</v>
      </c>
      <c r="I42" t="inlineStr">
        <is>
          <t>Q3</t>
        </is>
      </c>
      <c r="J42" t="inlineStr">
        <is>
          <t>10-Q</t>
        </is>
      </c>
      <c r="K42" t="inlineStr">
        <is>
          <t>2025-11-13</t>
        </is>
      </c>
      <c r="L42" t="inlineStr">
        <is>
          <t>0001769628-25-000062</t>
        </is>
      </c>
    </row>
    <row r="43">
      <c r="A43" t="inlineStr">
        <is>
          <t>cfo</t>
        </is>
      </c>
      <c r="B43" t="inlineStr">
        <is>
          <t>NetCashProvidedByUsedInOperatingActivities</t>
        </is>
      </c>
      <c r="C43" t="inlineStr">
        <is>
          <t>us-gaap</t>
        </is>
      </c>
      <c r="D43" t="inlineStr">
        <is>
          <t>USD</t>
        </is>
      </c>
      <c r="E43" t="inlineStr">
        <is>
          <t>2025-01-01</t>
        </is>
      </c>
      <c r="F43" t="inlineStr">
        <is>
          <t>2025-12-31</t>
        </is>
      </c>
      <c r="G43" t="n">
        <v>3058000000</v>
      </c>
      <c r="H43" t="n">
        <v>2025</v>
      </c>
      <c r="I43" t="inlineStr">
        <is>
          <t>FY</t>
        </is>
      </c>
      <c r="J43" t="inlineStr">
        <is>
          <t>10-K</t>
        </is>
      </c>
      <c r="K43" t="inlineStr">
        <is>
          <t>2026-03-02</t>
        </is>
      </c>
      <c r="L43" t="inlineStr">
        <is>
          <t>0001769628-26-000104</t>
        </is>
      </c>
      <c r="M43" t="inlineStr">
        <is>
          <t>CY2025</t>
        </is>
      </c>
    </row>
    <row r="44">
      <c r="A44" t="inlineStr">
        <is>
          <t>cfo</t>
        </is>
      </c>
      <c r="B44" t="inlineStr">
        <is>
          <t>NetCashProvidedByUsedInOperatingActivities</t>
        </is>
      </c>
      <c r="C44" t="inlineStr">
        <is>
          <t>us-gaap</t>
        </is>
      </c>
      <c r="D44" t="inlineStr">
        <is>
          <t>USD</t>
        </is>
      </c>
      <c r="E44" t="inlineStr">
        <is>
          <t>2026-01-01</t>
        </is>
      </c>
      <c r="F44" t="inlineStr">
        <is>
          <t>2026-03-31</t>
        </is>
      </c>
      <c r="G44" t="n">
        <v>2984000000</v>
      </c>
      <c r="H44" t="n">
        <v>2026</v>
      </c>
      <c r="I44" t="inlineStr">
        <is>
          <t>Q1</t>
        </is>
      </c>
      <c r="J44" t="inlineStr">
        <is>
          <t>10-Q</t>
        </is>
      </c>
      <c r="K44" t="inlineStr">
        <is>
          <t>2026-05-08</t>
        </is>
      </c>
      <c r="L44" t="inlineStr">
        <is>
          <t>0001769628-26-000222</t>
        </is>
      </c>
      <c r="M44" t="inlineStr">
        <is>
          <t>CY2026Q1</t>
        </is>
      </c>
    </row>
    <row r="45">
      <c r="A45" t="inlineStr">
        <is>
          <t>cfo</t>
        </is>
      </c>
      <c r="B45" t="inlineStr">
        <is>
          <t>NetCashProvidedByUsedInOperatingActivities</t>
        </is>
      </c>
      <c r="C45" t="inlineStr">
        <is>
          <t>us-gaap</t>
        </is>
      </c>
      <c r="D45" t="inlineStr">
        <is>
          <t>USD</t>
        </is>
      </c>
      <c r="E45" t="inlineStr">
        <is>
          <t>2026-01-01</t>
        </is>
      </c>
      <c r="F45" t="inlineStr">
        <is>
          <t>2026-06-30</t>
        </is>
      </c>
      <c r="G45" t="n">
        <v>3663000000</v>
      </c>
      <c r="H45" t="n">
        <v>2026</v>
      </c>
      <c r="I45" t="inlineStr">
        <is>
          <t>Q2</t>
        </is>
      </c>
      <c r="J45" t="inlineStr">
        <is>
          <t>10-Q</t>
        </is>
      </c>
      <c r="K45" t="inlineStr">
        <is>
          <t>2026-08-12</t>
        </is>
      </c>
      <c r="L45" t="inlineStr">
        <is>
          <t>0001769628-26-000366</t>
        </is>
      </c>
    </row>
    <row r="46">
      <c r="A46" t="inlineStr">
        <is>
          <t>cost_of_revenue</t>
        </is>
      </c>
      <c r="B46" t="inlineStr">
        <is>
          <t>CostOfGoodsAndServicesSold</t>
        </is>
      </c>
      <c r="C46" t="inlineStr">
        <is>
          <t>us-gaap</t>
        </is>
      </c>
      <c r="D46" t="inlineStr">
        <is>
          <t>USD</t>
        </is>
      </c>
      <c r="E46" t="inlineStr">
        <is>
          <t>2023-01-01</t>
        </is>
      </c>
      <c r="F46" t="inlineStr">
        <is>
          <t>2023-12-31</t>
        </is>
      </c>
      <c r="G46" t="n">
        <v>69000000</v>
      </c>
      <c r="H46" t="n">
        <v>2025</v>
      </c>
      <c r="I46" t="inlineStr">
        <is>
          <t>FY</t>
        </is>
      </c>
      <c r="J46" t="inlineStr">
        <is>
          <t>10-K</t>
        </is>
      </c>
      <c r="K46" t="inlineStr">
        <is>
          <t>2026-03-02</t>
        </is>
      </c>
      <c r="L46" t="inlineStr">
        <is>
          <t>0001769628-26-000104</t>
        </is>
      </c>
      <c r="M46" t="inlineStr">
        <is>
          <t>CY2023</t>
        </is>
      </c>
    </row>
    <row r="47">
      <c r="A47" t="inlineStr">
        <is>
          <t>cost_of_revenue</t>
        </is>
      </c>
      <c r="B47" t="inlineStr">
        <is>
          <t>CostOfGoodsAndServicesSold</t>
        </is>
      </c>
      <c r="C47" t="inlineStr">
        <is>
          <t>us-gaap</t>
        </is>
      </c>
      <c r="D47" t="inlineStr">
        <is>
          <t>USD</t>
        </is>
      </c>
      <c r="E47" t="inlineStr">
        <is>
          <t>2024-01-01</t>
        </is>
      </c>
      <c r="F47" t="inlineStr">
        <is>
          <t>2024-03-31</t>
        </is>
      </c>
      <c r="G47" t="n">
        <v>59220000</v>
      </c>
      <c r="H47" t="n">
        <v>2025</v>
      </c>
      <c r="I47" t="inlineStr">
        <is>
          <t>Q1</t>
        </is>
      </c>
      <c r="J47" t="inlineStr">
        <is>
          <t>10-Q</t>
        </is>
      </c>
      <c r="K47" t="inlineStr">
        <is>
          <t>2025-05-15</t>
        </is>
      </c>
      <c r="L47" t="inlineStr">
        <is>
          <t>0001769628-25-000014</t>
        </is>
      </c>
      <c r="M47" t="inlineStr">
        <is>
          <t>CY2024Q1</t>
        </is>
      </c>
    </row>
    <row r="48">
      <c r="A48" t="inlineStr">
        <is>
          <t>cost_of_revenue</t>
        </is>
      </c>
      <c r="B48" t="inlineStr">
        <is>
          <t>CostOfGoodsAndServicesSold</t>
        </is>
      </c>
      <c r="C48" t="inlineStr">
        <is>
          <t>us-gaap</t>
        </is>
      </c>
      <c r="D48" t="inlineStr">
        <is>
          <t>USD</t>
        </is>
      </c>
      <c r="E48" t="inlineStr">
        <is>
          <t>2024-01-01</t>
        </is>
      </c>
      <c r="F48" t="inlineStr">
        <is>
          <t>2024-06-30</t>
        </is>
      </c>
      <c r="G48" t="n">
        <v>168058000</v>
      </c>
      <c r="H48" t="n">
        <v>2025</v>
      </c>
      <c r="I48" t="inlineStr">
        <is>
          <t>Q2</t>
        </is>
      </c>
      <c r="J48" t="inlineStr">
        <is>
          <t>10-Q</t>
        </is>
      </c>
      <c r="K48" t="inlineStr">
        <is>
          <t>2025-08-13</t>
        </is>
      </c>
      <c r="L48" t="inlineStr">
        <is>
          <t>0001769628-25-000041</t>
        </is>
      </c>
    </row>
    <row r="49">
      <c r="A49" t="inlineStr">
        <is>
          <t>cost_of_revenue</t>
        </is>
      </c>
      <c r="B49" t="inlineStr">
        <is>
          <t>CostOfGoodsAndServicesSold</t>
        </is>
      </c>
      <c r="C49" t="inlineStr">
        <is>
          <t>us-gaap</t>
        </is>
      </c>
      <c r="D49" t="inlineStr">
        <is>
          <t>USD</t>
        </is>
      </c>
      <c r="E49" t="inlineStr">
        <is>
          <t>2024-04-01</t>
        </is>
      </c>
      <c r="F49" t="inlineStr">
        <is>
          <t>2024-06-30</t>
        </is>
      </c>
      <c r="G49" t="n">
        <v>108838000</v>
      </c>
      <c r="H49" t="n">
        <v>2025</v>
      </c>
      <c r="I49" t="inlineStr">
        <is>
          <t>Q2</t>
        </is>
      </c>
      <c r="J49" t="inlineStr">
        <is>
          <t>10-Q</t>
        </is>
      </c>
      <c r="K49" t="inlineStr">
        <is>
          <t>2025-08-13</t>
        </is>
      </c>
      <c r="L49" t="inlineStr">
        <is>
          <t>0001769628-25-000041</t>
        </is>
      </c>
      <c r="M49" t="inlineStr">
        <is>
          <t>CY2024Q2</t>
        </is>
      </c>
    </row>
    <row r="50">
      <c r="A50" t="inlineStr">
        <is>
          <t>cost_of_revenue</t>
        </is>
      </c>
      <c r="B50" t="inlineStr">
        <is>
          <t>CostOfGoodsAndServicesSold</t>
        </is>
      </c>
      <c r="C50" t="inlineStr">
        <is>
          <t>us-gaap</t>
        </is>
      </c>
      <c r="D50" t="inlineStr">
        <is>
          <t>USD</t>
        </is>
      </c>
      <c r="E50" t="inlineStr">
        <is>
          <t>2024-01-01</t>
        </is>
      </c>
      <c r="F50" t="inlineStr">
        <is>
          <t>2024-09-30</t>
        </is>
      </c>
      <c r="G50" t="n">
        <v>311192000</v>
      </c>
      <c r="H50" t="n">
        <v>2025</v>
      </c>
      <c r="I50" t="inlineStr">
        <is>
          <t>Q3</t>
        </is>
      </c>
      <c r="J50" t="inlineStr">
        <is>
          <t>10-Q</t>
        </is>
      </c>
      <c r="K50" t="inlineStr">
        <is>
          <t>2025-11-13</t>
        </is>
      </c>
      <c r="L50" t="inlineStr">
        <is>
          <t>0001769628-25-000062</t>
        </is>
      </c>
    </row>
    <row r="51">
      <c r="A51" t="inlineStr">
        <is>
          <t>cost_of_revenue</t>
        </is>
      </c>
      <c r="B51" t="inlineStr">
        <is>
          <t>CostOfGoodsAndServicesSold</t>
        </is>
      </c>
      <c r="C51" t="inlineStr">
        <is>
          <t>us-gaap</t>
        </is>
      </c>
      <c r="D51" t="inlineStr">
        <is>
          <t>USD</t>
        </is>
      </c>
      <c r="E51" t="inlineStr">
        <is>
          <t>2024-07-01</t>
        </is>
      </c>
      <c r="F51" t="inlineStr">
        <is>
          <t>2024-09-30</t>
        </is>
      </c>
      <c r="G51" t="n">
        <v>143134000</v>
      </c>
      <c r="H51" t="n">
        <v>2025</v>
      </c>
      <c r="I51" t="inlineStr">
        <is>
          <t>Q3</t>
        </is>
      </c>
      <c r="J51" t="inlineStr">
        <is>
          <t>10-Q</t>
        </is>
      </c>
      <c r="K51" t="inlineStr">
        <is>
          <t>2025-11-13</t>
        </is>
      </c>
      <c r="L51" t="inlineStr">
        <is>
          <t>0001769628-25-000062</t>
        </is>
      </c>
      <c r="M51" t="inlineStr">
        <is>
          <t>CY2024Q3</t>
        </is>
      </c>
    </row>
    <row r="52">
      <c r="A52" t="inlineStr">
        <is>
          <t>cost_of_revenue</t>
        </is>
      </c>
      <c r="B52" t="inlineStr">
        <is>
          <t>CostOfGoodsAndServicesSold</t>
        </is>
      </c>
      <c r="C52" t="inlineStr">
        <is>
          <t>us-gaap</t>
        </is>
      </c>
      <c r="D52" t="inlineStr">
        <is>
          <t>USD</t>
        </is>
      </c>
      <c r="E52" t="inlineStr">
        <is>
          <t>2024-01-01</t>
        </is>
      </c>
      <c r="F52" t="inlineStr">
        <is>
          <t>2024-12-31</t>
        </is>
      </c>
      <c r="G52" t="n">
        <v>493000000</v>
      </c>
      <c r="H52" t="n">
        <v>2025</v>
      </c>
      <c r="I52" t="inlineStr">
        <is>
          <t>FY</t>
        </is>
      </c>
      <c r="J52" t="inlineStr">
        <is>
          <t>10-K</t>
        </is>
      </c>
      <c r="K52" t="inlineStr">
        <is>
          <t>2026-03-02</t>
        </is>
      </c>
      <c r="L52" t="inlineStr">
        <is>
          <t>0001769628-26-000104</t>
        </is>
      </c>
      <c r="M52" t="inlineStr">
        <is>
          <t>CY2024</t>
        </is>
      </c>
    </row>
    <row r="53">
      <c r="A53" t="inlineStr">
        <is>
          <t>cost_of_revenue</t>
        </is>
      </c>
      <c r="B53" t="inlineStr">
        <is>
          <t>CostOfGoodsAndServicesSold</t>
        </is>
      </c>
      <c r="C53" t="inlineStr">
        <is>
          <t>us-gaap</t>
        </is>
      </c>
      <c r="D53" t="inlineStr">
        <is>
          <t>USD</t>
        </is>
      </c>
      <c r="E53" t="inlineStr">
        <is>
          <t>2025-01-01</t>
        </is>
      </c>
      <c r="F53" t="inlineStr">
        <is>
          <t>2025-03-31</t>
        </is>
      </c>
      <c r="G53" t="n">
        <v>262394000</v>
      </c>
      <c r="H53" t="n">
        <v>2025</v>
      </c>
      <c r="I53" t="inlineStr">
        <is>
          <t>Q1</t>
        </is>
      </c>
      <c r="J53" t="inlineStr">
        <is>
          <t>10-Q</t>
        </is>
      </c>
      <c r="K53" t="inlineStr">
        <is>
          <t>2025-05-15</t>
        </is>
      </c>
      <c r="L53" t="inlineStr">
        <is>
          <t>0001769628-25-000014</t>
        </is>
      </c>
    </row>
    <row r="54">
      <c r="A54" t="inlineStr">
        <is>
          <t>cost_of_revenue</t>
        </is>
      </c>
      <c r="B54" t="inlineStr">
        <is>
          <t>CostOfGoodsAndServicesSold</t>
        </is>
      </c>
      <c r="C54" t="inlineStr">
        <is>
          <t>us-gaap</t>
        </is>
      </c>
      <c r="D54" t="inlineStr">
        <is>
          <t>USD</t>
        </is>
      </c>
      <c r="E54" t="inlineStr">
        <is>
          <t>2025-01-01</t>
        </is>
      </c>
      <c r="F54" t="inlineStr">
        <is>
          <t>2025-03-31</t>
        </is>
      </c>
      <c r="G54" t="n">
        <v>262000000</v>
      </c>
      <c r="H54" t="n">
        <v>2026</v>
      </c>
      <c r="I54" t="inlineStr">
        <is>
          <t>Q1</t>
        </is>
      </c>
      <c r="J54" t="inlineStr">
        <is>
          <t>10-Q</t>
        </is>
      </c>
      <c r="K54" t="inlineStr">
        <is>
          <t>2026-05-08</t>
        </is>
      </c>
      <c r="L54" t="inlineStr">
        <is>
          <t>0001769628-26-000222</t>
        </is>
      </c>
      <c r="M54" t="inlineStr">
        <is>
          <t>CY2025Q1</t>
        </is>
      </c>
    </row>
    <row r="55">
      <c r="A55" t="inlineStr">
        <is>
          <t>cost_of_revenue</t>
        </is>
      </c>
      <c r="B55" t="inlineStr">
        <is>
          <t>CostOfGoodsAndServicesSold</t>
        </is>
      </c>
      <c r="C55" t="inlineStr">
        <is>
          <t>us-gaap</t>
        </is>
      </c>
      <c r="D55" t="inlineStr">
        <is>
          <t>USD</t>
        </is>
      </c>
      <c r="E55" t="inlineStr">
        <is>
          <t>2025-01-01</t>
        </is>
      </c>
      <c r="F55" t="inlineStr">
        <is>
          <t>2025-06-30</t>
        </is>
      </c>
      <c r="G55" t="n">
        <v>575061000</v>
      </c>
      <c r="H55" t="n">
        <v>2025</v>
      </c>
      <c r="I55" t="inlineStr">
        <is>
          <t>Q2</t>
        </is>
      </c>
      <c r="J55" t="inlineStr">
        <is>
          <t>10-Q</t>
        </is>
      </c>
      <c r="K55" t="inlineStr">
        <is>
          <t>2025-08-13</t>
        </is>
      </c>
      <c r="L55" t="inlineStr">
        <is>
          <t>0001769628-25-000041</t>
        </is>
      </c>
    </row>
    <row r="56">
      <c r="A56" t="inlineStr">
        <is>
          <t>cost_of_revenue</t>
        </is>
      </c>
      <c r="B56" t="inlineStr">
        <is>
          <t>CostOfGoodsAndServicesSold</t>
        </is>
      </c>
      <c r="C56" t="inlineStr">
        <is>
          <t>us-gaap</t>
        </is>
      </c>
      <c r="D56" t="inlineStr">
        <is>
          <t>USD</t>
        </is>
      </c>
      <c r="E56" t="inlineStr">
        <is>
          <t>2025-04-01</t>
        </is>
      </c>
      <c r="F56" t="inlineStr">
        <is>
          <t>2025-06-30</t>
        </is>
      </c>
      <c r="G56" t="n">
        <v>312667000</v>
      </c>
      <c r="H56" t="n">
        <v>2025</v>
      </c>
      <c r="I56" t="inlineStr">
        <is>
          <t>Q2</t>
        </is>
      </c>
      <c r="J56" t="inlineStr">
        <is>
          <t>10-Q</t>
        </is>
      </c>
      <c r="K56" t="inlineStr">
        <is>
          <t>2025-08-13</t>
        </is>
      </c>
      <c r="L56" t="inlineStr">
        <is>
          <t>0001769628-25-000041</t>
        </is>
      </c>
    </row>
    <row r="57">
      <c r="A57" t="inlineStr">
        <is>
          <t>cost_of_revenue</t>
        </is>
      </c>
      <c r="B57" t="inlineStr">
        <is>
          <t>CostOfGoodsAndServicesSold</t>
        </is>
      </c>
      <c r="C57" t="inlineStr">
        <is>
          <t>us-gaap</t>
        </is>
      </c>
      <c r="D57" t="inlineStr">
        <is>
          <t>USD</t>
        </is>
      </c>
      <c r="E57" t="inlineStr">
        <is>
          <t>2025-01-01</t>
        </is>
      </c>
      <c r="F57" t="inlineStr">
        <is>
          <t>2025-06-30</t>
        </is>
      </c>
      <c r="G57" t="n">
        <v>575000000</v>
      </c>
      <c r="H57" t="n">
        <v>2026</v>
      </c>
      <c r="I57" t="inlineStr">
        <is>
          <t>Q2</t>
        </is>
      </c>
      <c r="J57" t="inlineStr">
        <is>
          <t>10-Q</t>
        </is>
      </c>
      <c r="K57" t="inlineStr">
        <is>
          <t>2026-08-12</t>
        </is>
      </c>
      <c r="L57" t="inlineStr">
        <is>
          <t>0001769628-26-000366</t>
        </is>
      </c>
    </row>
    <row r="58">
      <c r="A58" t="inlineStr">
        <is>
          <t>cost_of_revenue</t>
        </is>
      </c>
      <c r="B58" t="inlineStr">
        <is>
          <t>CostOfGoodsAndServicesSold</t>
        </is>
      </c>
      <c r="C58" t="inlineStr">
        <is>
          <t>us-gaap</t>
        </is>
      </c>
      <c r="D58" t="inlineStr">
        <is>
          <t>USD</t>
        </is>
      </c>
      <c r="E58" t="inlineStr">
        <is>
          <t>2025-04-01</t>
        </is>
      </c>
      <c r="F58" t="inlineStr">
        <is>
          <t>2025-06-30</t>
        </is>
      </c>
      <c r="G58" t="n">
        <v>313000000</v>
      </c>
      <c r="H58" t="n">
        <v>2026</v>
      </c>
      <c r="I58" t="inlineStr">
        <is>
          <t>Q2</t>
        </is>
      </c>
      <c r="J58" t="inlineStr">
        <is>
          <t>10-Q</t>
        </is>
      </c>
      <c r="K58" t="inlineStr">
        <is>
          <t>2026-08-12</t>
        </is>
      </c>
      <c r="L58" t="inlineStr">
        <is>
          <t>0001769628-26-000366</t>
        </is>
      </c>
      <c r="M58" t="inlineStr">
        <is>
          <t>CY2025Q2</t>
        </is>
      </c>
    </row>
    <row r="59">
      <c r="A59" t="inlineStr">
        <is>
          <t>cost_of_revenue</t>
        </is>
      </c>
      <c r="B59" t="inlineStr">
        <is>
          <t>CostOfGoodsAndServicesSold</t>
        </is>
      </c>
      <c r="C59" t="inlineStr">
        <is>
          <t>us-gaap</t>
        </is>
      </c>
      <c r="D59" t="inlineStr">
        <is>
          <t>USD</t>
        </is>
      </c>
      <c r="E59" t="inlineStr">
        <is>
          <t>2025-01-01</t>
        </is>
      </c>
      <c r="F59" t="inlineStr">
        <is>
          <t>2025-09-30</t>
        </is>
      </c>
      <c r="G59" t="n">
        <v>943885000</v>
      </c>
      <c r="H59" t="n">
        <v>2025</v>
      </c>
      <c r="I59" t="inlineStr">
        <is>
          <t>Q3</t>
        </is>
      </c>
      <c r="J59" t="inlineStr">
        <is>
          <t>10-Q</t>
        </is>
      </c>
      <c r="K59" t="inlineStr">
        <is>
          <t>2025-11-13</t>
        </is>
      </c>
      <c r="L59" t="inlineStr">
        <is>
          <t>0001769628-25-000062</t>
        </is>
      </c>
    </row>
    <row r="60">
      <c r="A60" t="inlineStr">
        <is>
          <t>cost_of_revenue</t>
        </is>
      </c>
      <c r="B60" t="inlineStr">
        <is>
          <t>CostOfGoodsAndServicesSold</t>
        </is>
      </c>
      <c r="C60" t="inlineStr">
        <is>
          <t>us-gaap</t>
        </is>
      </c>
      <c r="D60" t="inlineStr">
        <is>
          <t>USD</t>
        </is>
      </c>
      <c r="E60" t="inlineStr">
        <is>
          <t>2025-07-01</t>
        </is>
      </c>
      <c r="F60" t="inlineStr">
        <is>
          <t>2025-09-30</t>
        </is>
      </c>
      <c r="G60" t="n">
        <v>368824000</v>
      </c>
      <c r="H60" t="n">
        <v>2025</v>
      </c>
      <c r="I60" t="inlineStr">
        <is>
          <t>Q3</t>
        </is>
      </c>
      <c r="J60" t="inlineStr">
        <is>
          <t>10-Q</t>
        </is>
      </c>
      <c r="K60" t="inlineStr">
        <is>
          <t>2025-11-13</t>
        </is>
      </c>
      <c r="L60" t="inlineStr">
        <is>
          <t>0001769628-25-000062</t>
        </is>
      </c>
      <c r="M60" t="inlineStr">
        <is>
          <t>CY2025Q3</t>
        </is>
      </c>
    </row>
    <row r="61">
      <c r="A61" t="inlineStr">
        <is>
          <t>cost_of_revenue</t>
        </is>
      </c>
      <c r="B61" t="inlineStr">
        <is>
          <t>CostOfGoodsAndServicesSold</t>
        </is>
      </c>
      <c r="C61" t="inlineStr">
        <is>
          <t>us-gaap</t>
        </is>
      </c>
      <c r="D61" t="inlineStr">
        <is>
          <t>USD</t>
        </is>
      </c>
      <c r="E61" t="inlineStr">
        <is>
          <t>2025-01-01</t>
        </is>
      </c>
      <c r="F61" t="inlineStr">
        <is>
          <t>2025-12-31</t>
        </is>
      </c>
      <c r="G61" t="n">
        <v>1453000000</v>
      </c>
      <c r="H61" t="n">
        <v>2025</v>
      </c>
      <c r="I61" t="inlineStr">
        <is>
          <t>FY</t>
        </is>
      </c>
      <c r="J61" t="inlineStr">
        <is>
          <t>10-K</t>
        </is>
      </c>
      <c r="K61" t="inlineStr">
        <is>
          <t>2026-03-02</t>
        </is>
      </c>
      <c r="L61" t="inlineStr">
        <is>
          <t>0001769628-26-000104</t>
        </is>
      </c>
      <c r="M61" t="inlineStr">
        <is>
          <t>CY2025</t>
        </is>
      </c>
    </row>
    <row r="62">
      <c r="A62" t="inlineStr">
        <is>
          <t>cost_of_revenue</t>
        </is>
      </c>
      <c r="B62" t="inlineStr">
        <is>
          <t>CostOfGoodsAndServicesSold</t>
        </is>
      </c>
      <c r="C62" t="inlineStr">
        <is>
          <t>us-gaap</t>
        </is>
      </c>
      <c r="D62" t="inlineStr">
        <is>
          <t>USD</t>
        </is>
      </c>
      <c r="E62" t="inlineStr">
        <is>
          <t>2026-01-01</t>
        </is>
      </c>
      <c r="F62" t="inlineStr">
        <is>
          <t>2026-03-31</t>
        </is>
      </c>
      <c r="G62" t="n">
        <v>716000000</v>
      </c>
      <c r="H62" t="n">
        <v>2026</v>
      </c>
      <c r="I62" t="inlineStr">
        <is>
          <t>Q1</t>
        </is>
      </c>
      <c r="J62" t="inlineStr">
        <is>
          <t>10-Q</t>
        </is>
      </c>
      <c r="K62" t="inlineStr">
        <is>
          <t>2026-05-08</t>
        </is>
      </c>
      <c r="L62" t="inlineStr">
        <is>
          <t>0001769628-26-000222</t>
        </is>
      </c>
      <c r="M62" t="inlineStr">
        <is>
          <t>CY2026Q1</t>
        </is>
      </c>
    </row>
    <row r="63">
      <c r="A63" t="inlineStr">
        <is>
          <t>cost_of_revenue</t>
        </is>
      </c>
      <c r="B63" t="inlineStr">
        <is>
          <t>CostOfGoodsAndServicesSold</t>
        </is>
      </c>
      <c r="C63" t="inlineStr">
        <is>
          <t>us-gaap</t>
        </is>
      </c>
      <c r="D63" t="inlineStr">
        <is>
          <t>USD</t>
        </is>
      </c>
      <c r="E63" t="inlineStr">
        <is>
          <t>2026-01-01</t>
        </is>
      </c>
      <c r="F63" t="inlineStr">
        <is>
          <t>2026-06-30</t>
        </is>
      </c>
      <c r="G63" t="n">
        <v>1595000000</v>
      </c>
      <c r="H63" t="n">
        <v>2026</v>
      </c>
      <c r="I63" t="inlineStr">
        <is>
          <t>Q2</t>
        </is>
      </c>
      <c r="J63" t="inlineStr">
        <is>
          <t>10-Q</t>
        </is>
      </c>
      <c r="K63" t="inlineStr">
        <is>
          <t>2026-08-12</t>
        </is>
      </c>
      <c r="L63" t="inlineStr">
        <is>
          <t>0001769628-26-000366</t>
        </is>
      </c>
    </row>
    <row r="64">
      <c r="A64" t="inlineStr">
        <is>
          <t>cost_of_revenue</t>
        </is>
      </c>
      <c r="B64" t="inlineStr">
        <is>
          <t>CostOfGoodsAndServicesSold</t>
        </is>
      </c>
      <c r="C64" t="inlineStr">
        <is>
          <t>us-gaap</t>
        </is>
      </c>
      <c r="D64" t="inlineStr">
        <is>
          <t>USD</t>
        </is>
      </c>
      <c r="E64" t="inlineStr">
        <is>
          <t>2026-04-01</t>
        </is>
      </c>
      <c r="F64" t="inlineStr">
        <is>
          <t>2026-06-30</t>
        </is>
      </c>
      <c r="G64" t="n">
        <v>879000000</v>
      </c>
      <c r="H64" t="n">
        <v>2026</v>
      </c>
      <c r="I64" t="inlineStr">
        <is>
          <t>Q2</t>
        </is>
      </c>
      <c r="J64" t="inlineStr">
        <is>
          <t>10-Q</t>
        </is>
      </c>
      <c r="K64" t="inlineStr">
        <is>
          <t>2026-08-12</t>
        </is>
      </c>
      <c r="L64" t="inlineStr">
        <is>
          <t>0001769628-26-000366</t>
        </is>
      </c>
      <c r="M64" t="inlineStr">
        <is>
          <t>CY2026Q2</t>
        </is>
      </c>
    </row>
    <row r="65">
      <c r="A65" t="inlineStr">
        <is>
          <t>d_and_a</t>
        </is>
      </c>
      <c r="B65" t="inlineStr">
        <is>
          <t>DepreciationDepletionAndAmortization</t>
        </is>
      </c>
      <c r="C65" t="inlineStr">
        <is>
          <t>us-gaap</t>
        </is>
      </c>
      <c r="D65" t="inlineStr">
        <is>
          <t>USD</t>
        </is>
      </c>
      <c r="E65" t="inlineStr">
        <is>
          <t>2023-01-01</t>
        </is>
      </c>
      <c r="F65" t="inlineStr">
        <is>
          <t>2023-12-31</t>
        </is>
      </c>
      <c r="G65" t="n">
        <v>103000000</v>
      </c>
      <c r="H65" t="n">
        <v>2025</v>
      </c>
      <c r="I65" t="inlineStr">
        <is>
          <t>FY</t>
        </is>
      </c>
      <c r="J65" t="inlineStr">
        <is>
          <t>10-K</t>
        </is>
      </c>
      <c r="K65" t="inlineStr">
        <is>
          <t>2026-03-02</t>
        </is>
      </c>
      <c r="L65" t="inlineStr">
        <is>
          <t>0001769628-26-000104</t>
        </is>
      </c>
      <c r="M65" t="inlineStr">
        <is>
          <t>CY2023</t>
        </is>
      </c>
    </row>
    <row r="66">
      <c r="A66" t="inlineStr">
        <is>
          <t>d_and_a</t>
        </is>
      </c>
      <c r="B66" t="inlineStr">
        <is>
          <t>DepreciationDepletionAndAmortization</t>
        </is>
      </c>
      <c r="C66" t="inlineStr">
        <is>
          <t>us-gaap</t>
        </is>
      </c>
      <c r="D66" t="inlineStr">
        <is>
          <t>USD</t>
        </is>
      </c>
      <c r="E66" t="inlineStr">
        <is>
          <t>2024-01-01</t>
        </is>
      </c>
      <c r="F66" t="inlineStr">
        <is>
          <t>2024-03-31</t>
        </is>
      </c>
      <c r="G66" t="n">
        <v>79510000</v>
      </c>
      <c r="H66" t="n">
        <v>2025</v>
      </c>
      <c r="I66" t="inlineStr">
        <is>
          <t>Q1</t>
        </is>
      </c>
      <c r="J66" t="inlineStr">
        <is>
          <t>10-Q</t>
        </is>
      </c>
      <c r="K66" t="inlineStr">
        <is>
          <t>2025-05-15</t>
        </is>
      </c>
      <c r="L66" t="inlineStr">
        <is>
          <t>0001769628-25-000014</t>
        </is>
      </c>
      <c r="M66" t="inlineStr">
        <is>
          <t>CY2024Q1</t>
        </is>
      </c>
    </row>
    <row r="67">
      <c r="A67" t="inlineStr">
        <is>
          <t>d_and_a</t>
        </is>
      </c>
      <c r="B67" t="inlineStr">
        <is>
          <t>DepreciationDepletionAndAmortization</t>
        </is>
      </c>
      <c r="C67" t="inlineStr">
        <is>
          <t>us-gaap</t>
        </is>
      </c>
      <c r="D67" t="inlineStr">
        <is>
          <t>USD</t>
        </is>
      </c>
      <c r="E67" t="inlineStr">
        <is>
          <t>2024-01-01</t>
        </is>
      </c>
      <c r="F67" t="inlineStr">
        <is>
          <t>2024-06-30</t>
        </is>
      </c>
      <c r="G67" t="n">
        <v>243970000</v>
      </c>
      <c r="H67" t="n">
        <v>2025</v>
      </c>
      <c r="I67" t="inlineStr">
        <is>
          <t>Q2</t>
        </is>
      </c>
      <c r="J67" t="inlineStr">
        <is>
          <t>10-Q</t>
        </is>
      </c>
      <c r="K67" t="inlineStr">
        <is>
          <t>2025-08-13</t>
        </is>
      </c>
      <c r="L67" t="inlineStr">
        <is>
          <t>0001769628-25-000041</t>
        </is>
      </c>
    </row>
    <row r="68">
      <c r="A68" t="inlineStr">
        <is>
          <t>d_and_a</t>
        </is>
      </c>
      <c r="B68" t="inlineStr">
        <is>
          <t>DepreciationDepletionAndAmortization</t>
        </is>
      </c>
      <c r="C68" t="inlineStr">
        <is>
          <t>us-gaap</t>
        </is>
      </c>
      <c r="D68" t="inlineStr">
        <is>
          <t>USD</t>
        </is>
      </c>
      <c r="E68" t="inlineStr">
        <is>
          <t>2024-01-01</t>
        </is>
      </c>
      <c r="F68" t="inlineStr">
        <is>
          <t>2024-09-30</t>
        </is>
      </c>
      <c r="G68" t="n">
        <v>497994000</v>
      </c>
      <c r="H68" t="n">
        <v>2025</v>
      </c>
      <c r="I68" t="inlineStr">
        <is>
          <t>Q3</t>
        </is>
      </c>
      <c r="J68" t="inlineStr">
        <is>
          <t>10-Q</t>
        </is>
      </c>
      <c r="K68" t="inlineStr">
        <is>
          <t>2025-11-13</t>
        </is>
      </c>
      <c r="L68" t="inlineStr">
        <is>
          <t>0001769628-25-000062</t>
        </is>
      </c>
    </row>
    <row r="69">
      <c r="A69" t="inlineStr">
        <is>
          <t>d_and_a</t>
        </is>
      </c>
      <c r="B69" t="inlineStr">
        <is>
          <t>DepreciationDepletionAndAmortization</t>
        </is>
      </c>
      <c r="C69" t="inlineStr">
        <is>
          <t>us-gaap</t>
        </is>
      </c>
      <c r="D69" t="inlineStr">
        <is>
          <t>USD</t>
        </is>
      </c>
      <c r="E69" t="inlineStr">
        <is>
          <t>2024-01-01</t>
        </is>
      </c>
      <c r="F69" t="inlineStr">
        <is>
          <t>2024-12-31</t>
        </is>
      </c>
      <c r="G69" t="n">
        <v>863000000</v>
      </c>
      <c r="H69" t="n">
        <v>2025</v>
      </c>
      <c r="I69" t="inlineStr">
        <is>
          <t>FY</t>
        </is>
      </c>
      <c r="J69" t="inlineStr">
        <is>
          <t>10-K</t>
        </is>
      </c>
      <c r="K69" t="inlineStr">
        <is>
          <t>2026-03-02</t>
        </is>
      </c>
      <c r="L69" t="inlineStr">
        <is>
          <t>0001769628-26-000104</t>
        </is>
      </c>
      <c r="M69" t="inlineStr">
        <is>
          <t>CY2024</t>
        </is>
      </c>
    </row>
    <row r="70">
      <c r="A70" t="inlineStr">
        <is>
          <t>d_and_a</t>
        </is>
      </c>
      <c r="B70" t="inlineStr">
        <is>
          <t>DepreciationDepletionAndAmortization</t>
        </is>
      </c>
      <c r="C70" t="inlineStr">
        <is>
          <t>us-gaap</t>
        </is>
      </c>
      <c r="D70" t="inlineStr">
        <is>
          <t>USD</t>
        </is>
      </c>
      <c r="E70" t="inlineStr">
        <is>
          <t>2025-01-01</t>
        </is>
      </c>
      <c r="F70" t="inlineStr">
        <is>
          <t>2025-03-31</t>
        </is>
      </c>
      <c r="G70" t="n">
        <v>443497000</v>
      </c>
      <c r="H70" t="n">
        <v>2025</v>
      </c>
      <c r="I70" t="inlineStr">
        <is>
          <t>Q1</t>
        </is>
      </c>
      <c r="J70" t="inlineStr">
        <is>
          <t>10-Q</t>
        </is>
      </c>
      <c r="K70" t="inlineStr">
        <is>
          <t>2025-05-15</t>
        </is>
      </c>
      <c r="L70" t="inlineStr">
        <is>
          <t>0001769628-25-000014</t>
        </is>
      </c>
    </row>
    <row r="71">
      <c r="A71" t="inlineStr">
        <is>
          <t>d_and_a</t>
        </is>
      </c>
      <c r="B71" t="inlineStr">
        <is>
          <t>DepreciationDepletionAndAmortization</t>
        </is>
      </c>
      <c r="C71" t="inlineStr">
        <is>
          <t>us-gaap</t>
        </is>
      </c>
      <c r="D71" t="inlineStr">
        <is>
          <t>USD</t>
        </is>
      </c>
      <c r="E71" t="inlineStr">
        <is>
          <t>2025-01-01</t>
        </is>
      </c>
      <c r="F71" t="inlineStr">
        <is>
          <t>2025-03-31</t>
        </is>
      </c>
      <c r="G71" t="n">
        <v>443000000</v>
      </c>
      <c r="H71" t="n">
        <v>2026</v>
      </c>
      <c r="I71" t="inlineStr">
        <is>
          <t>Q1</t>
        </is>
      </c>
      <c r="J71" t="inlineStr">
        <is>
          <t>10-Q</t>
        </is>
      </c>
      <c r="K71" t="inlineStr">
        <is>
          <t>2026-05-08</t>
        </is>
      </c>
      <c r="L71" t="inlineStr">
        <is>
          <t>0001769628-26-000222</t>
        </is>
      </c>
      <c r="M71" t="inlineStr">
        <is>
          <t>CY2025Q1</t>
        </is>
      </c>
    </row>
    <row r="72">
      <c r="A72" t="inlineStr">
        <is>
          <t>d_and_a</t>
        </is>
      </c>
      <c r="B72" t="inlineStr">
        <is>
          <t>DepreciationDepletionAndAmortization</t>
        </is>
      </c>
      <c r="C72" t="inlineStr">
        <is>
          <t>us-gaap</t>
        </is>
      </c>
      <c r="D72" t="inlineStr">
        <is>
          <t>USD</t>
        </is>
      </c>
      <c r="E72" t="inlineStr">
        <is>
          <t>2025-01-01</t>
        </is>
      </c>
      <c r="F72" t="inlineStr">
        <is>
          <t>2025-06-30</t>
        </is>
      </c>
      <c r="G72" t="n">
        <v>1002978000</v>
      </c>
      <c r="H72" t="n">
        <v>2025</v>
      </c>
      <c r="I72" t="inlineStr">
        <is>
          <t>Q2</t>
        </is>
      </c>
      <c r="J72" t="inlineStr">
        <is>
          <t>10-Q</t>
        </is>
      </c>
      <c r="K72" t="inlineStr">
        <is>
          <t>2025-08-13</t>
        </is>
      </c>
      <c r="L72" t="inlineStr">
        <is>
          <t>0001769628-25-000041</t>
        </is>
      </c>
    </row>
    <row r="73">
      <c r="A73" t="inlineStr">
        <is>
          <t>d_and_a</t>
        </is>
      </c>
      <c r="B73" t="inlineStr">
        <is>
          <t>DepreciationDepletionAndAmortization</t>
        </is>
      </c>
      <c r="C73" t="inlineStr">
        <is>
          <t>us-gaap</t>
        </is>
      </c>
      <c r="D73" t="inlineStr">
        <is>
          <t>USD</t>
        </is>
      </c>
      <c r="E73" t="inlineStr">
        <is>
          <t>2025-01-01</t>
        </is>
      </c>
      <c r="F73" t="inlineStr">
        <is>
          <t>2025-06-30</t>
        </is>
      </c>
      <c r="G73" t="n">
        <v>1003000000</v>
      </c>
      <c r="H73" t="n">
        <v>2026</v>
      </c>
      <c r="I73" t="inlineStr">
        <is>
          <t>Q2</t>
        </is>
      </c>
      <c r="J73" t="inlineStr">
        <is>
          <t>10-Q</t>
        </is>
      </c>
      <c r="K73" t="inlineStr">
        <is>
          <t>2026-08-12</t>
        </is>
      </c>
      <c r="L73" t="inlineStr">
        <is>
          <t>0001769628-26-000366</t>
        </is>
      </c>
    </row>
    <row r="74">
      <c r="A74" t="inlineStr">
        <is>
          <t>d_and_a</t>
        </is>
      </c>
      <c r="B74" t="inlineStr">
        <is>
          <t>DepreciationDepletionAndAmortization</t>
        </is>
      </c>
      <c r="C74" t="inlineStr">
        <is>
          <t>us-gaap</t>
        </is>
      </c>
      <c r="D74" t="inlineStr">
        <is>
          <t>USD</t>
        </is>
      </c>
      <c r="E74" t="inlineStr">
        <is>
          <t>2025-01-01</t>
        </is>
      </c>
      <c r="F74" t="inlineStr">
        <is>
          <t>2025-09-30</t>
        </is>
      </c>
      <c r="G74" t="n">
        <v>1633457000</v>
      </c>
      <c r="H74" t="n">
        <v>2025</v>
      </c>
      <c r="I74" t="inlineStr">
        <is>
          <t>Q3</t>
        </is>
      </c>
      <c r="J74" t="inlineStr">
        <is>
          <t>10-Q</t>
        </is>
      </c>
      <c r="K74" t="inlineStr">
        <is>
          <t>2025-11-13</t>
        </is>
      </c>
      <c r="L74" t="inlineStr">
        <is>
          <t>0001769628-25-000062</t>
        </is>
      </c>
    </row>
    <row r="75">
      <c r="A75" t="inlineStr">
        <is>
          <t>d_and_a</t>
        </is>
      </c>
      <c r="B75" t="inlineStr">
        <is>
          <t>DepreciationDepletionAndAmortization</t>
        </is>
      </c>
      <c r="C75" t="inlineStr">
        <is>
          <t>us-gaap</t>
        </is>
      </c>
      <c r="D75" t="inlineStr">
        <is>
          <t>USD</t>
        </is>
      </c>
      <c r="E75" t="inlineStr">
        <is>
          <t>2025-01-01</t>
        </is>
      </c>
      <c r="F75" t="inlineStr">
        <is>
          <t>2025-12-31</t>
        </is>
      </c>
      <c r="G75" t="n">
        <v>2454000000</v>
      </c>
      <c r="H75" t="n">
        <v>2025</v>
      </c>
      <c r="I75" t="inlineStr">
        <is>
          <t>FY</t>
        </is>
      </c>
      <c r="J75" t="inlineStr">
        <is>
          <t>10-K</t>
        </is>
      </c>
      <c r="K75" t="inlineStr">
        <is>
          <t>2026-03-02</t>
        </is>
      </c>
      <c r="L75" t="inlineStr">
        <is>
          <t>0001769628-26-000104</t>
        </is>
      </c>
      <c r="M75" t="inlineStr">
        <is>
          <t>CY2025</t>
        </is>
      </c>
    </row>
    <row r="76">
      <c r="A76" t="inlineStr">
        <is>
          <t>d_and_a</t>
        </is>
      </c>
      <c r="B76" t="inlineStr">
        <is>
          <t>DepreciationDepletionAndAmortization</t>
        </is>
      </c>
      <c r="C76" t="inlineStr">
        <is>
          <t>us-gaap</t>
        </is>
      </c>
      <c r="D76" t="inlineStr">
        <is>
          <t>USD</t>
        </is>
      </c>
      <c r="E76" t="inlineStr">
        <is>
          <t>2026-01-01</t>
        </is>
      </c>
      <c r="F76" t="inlineStr">
        <is>
          <t>2026-03-31</t>
        </is>
      </c>
      <c r="G76" t="n">
        <v>1147000000</v>
      </c>
      <c r="H76" t="n">
        <v>2026</v>
      </c>
      <c r="I76" t="inlineStr">
        <is>
          <t>Q1</t>
        </is>
      </c>
      <c r="J76" t="inlineStr">
        <is>
          <t>10-Q</t>
        </is>
      </c>
      <c r="K76" t="inlineStr">
        <is>
          <t>2026-05-08</t>
        </is>
      </c>
      <c r="L76" t="inlineStr">
        <is>
          <t>0001769628-26-000222</t>
        </is>
      </c>
      <c r="M76" t="inlineStr">
        <is>
          <t>CY2026Q1</t>
        </is>
      </c>
    </row>
    <row r="77">
      <c r="A77" t="inlineStr">
        <is>
          <t>d_and_a</t>
        </is>
      </c>
      <c r="B77" t="inlineStr">
        <is>
          <t>DepreciationDepletionAndAmortization</t>
        </is>
      </c>
      <c r="C77" t="inlineStr">
        <is>
          <t>us-gaap</t>
        </is>
      </c>
      <c r="D77" t="inlineStr">
        <is>
          <t>USD</t>
        </is>
      </c>
      <c r="E77" t="inlineStr">
        <is>
          <t>2026-01-01</t>
        </is>
      </c>
      <c r="F77" t="inlineStr">
        <is>
          <t>2026-06-30</t>
        </is>
      </c>
      <c r="G77" t="n">
        <v>2540000000</v>
      </c>
      <c r="H77" t="n">
        <v>2026</v>
      </c>
      <c r="I77" t="inlineStr">
        <is>
          <t>Q2</t>
        </is>
      </c>
      <c r="J77" t="inlineStr">
        <is>
          <t>10-Q</t>
        </is>
      </c>
      <c r="K77" t="inlineStr">
        <is>
          <t>2026-08-12</t>
        </is>
      </c>
      <c r="L77" t="inlineStr">
        <is>
          <t>0001769628-26-000366</t>
        </is>
      </c>
    </row>
    <row r="78">
      <c r="A78" t="inlineStr">
        <is>
          <t>debt_principal</t>
        </is>
      </c>
      <c r="B78" t="inlineStr">
        <is>
          <t>DebtInstrumentCarryingAmount</t>
        </is>
      </c>
      <c r="C78" t="inlineStr">
        <is>
          <t>us-gaap</t>
        </is>
      </c>
      <c r="D78" t="inlineStr">
        <is>
          <t>USD</t>
        </is>
      </c>
      <c r="F78" t="inlineStr">
        <is>
          <t>2024-12-31</t>
        </is>
      </c>
      <c r="G78" t="n">
        <v>8033477000</v>
      </c>
      <c r="H78" t="n">
        <v>2025</v>
      </c>
      <c r="I78" t="inlineStr">
        <is>
          <t>Q1</t>
        </is>
      </c>
      <c r="J78" t="inlineStr">
        <is>
          <t>10-Q</t>
        </is>
      </c>
      <c r="K78" t="inlineStr">
        <is>
          <t>2025-05-15</t>
        </is>
      </c>
      <c r="L78" t="inlineStr">
        <is>
          <t>0001769628-25-000014</t>
        </is>
      </c>
    </row>
    <row r="79">
      <c r="A79" t="inlineStr">
        <is>
          <t>debt_principal</t>
        </is>
      </c>
      <c r="B79" t="inlineStr">
        <is>
          <t>DebtInstrumentCarryingAmount</t>
        </is>
      </c>
      <c r="C79" t="inlineStr">
        <is>
          <t>us-gaap</t>
        </is>
      </c>
      <c r="D79" t="inlineStr">
        <is>
          <t>USD</t>
        </is>
      </c>
      <c r="F79" t="inlineStr">
        <is>
          <t>2024-12-31</t>
        </is>
      </c>
      <c r="G79" t="n">
        <v>8033477000</v>
      </c>
      <c r="H79" t="n">
        <v>2025</v>
      </c>
      <c r="I79" t="inlineStr">
        <is>
          <t>Q2</t>
        </is>
      </c>
      <c r="J79" t="inlineStr">
        <is>
          <t>10-Q</t>
        </is>
      </c>
      <c r="K79" t="inlineStr">
        <is>
          <t>2025-08-13</t>
        </is>
      </c>
      <c r="L79" t="inlineStr">
        <is>
          <t>0001769628-25-000041</t>
        </is>
      </c>
    </row>
    <row r="80">
      <c r="A80" t="inlineStr">
        <is>
          <t>debt_principal</t>
        </is>
      </c>
      <c r="B80" t="inlineStr">
        <is>
          <t>DebtInstrumentCarryingAmount</t>
        </is>
      </c>
      <c r="C80" t="inlineStr">
        <is>
          <t>us-gaap</t>
        </is>
      </c>
      <c r="D80" t="inlineStr">
        <is>
          <t>USD</t>
        </is>
      </c>
      <c r="F80" t="inlineStr">
        <is>
          <t>2024-12-31</t>
        </is>
      </c>
      <c r="G80" t="n">
        <v>8033477000</v>
      </c>
      <c r="H80" t="n">
        <v>2025</v>
      </c>
      <c r="I80" t="inlineStr">
        <is>
          <t>Q3</t>
        </is>
      </c>
      <c r="J80" t="inlineStr">
        <is>
          <t>10-Q</t>
        </is>
      </c>
      <c r="K80" t="inlineStr">
        <is>
          <t>2025-11-13</t>
        </is>
      </c>
      <c r="L80" t="inlineStr">
        <is>
          <t>0001769628-25-000062</t>
        </is>
      </c>
    </row>
    <row r="81">
      <c r="A81" t="inlineStr">
        <is>
          <t>debt_principal</t>
        </is>
      </c>
      <c r="B81" t="inlineStr">
        <is>
          <t>DebtInstrumentCarryingAmount</t>
        </is>
      </c>
      <c r="C81" t="inlineStr">
        <is>
          <t>us-gaap</t>
        </is>
      </c>
      <c r="D81" t="inlineStr">
        <is>
          <t>USD</t>
        </is>
      </c>
      <c r="F81" t="inlineStr">
        <is>
          <t>2024-12-31</t>
        </is>
      </c>
      <c r="G81" t="n">
        <v>8033000000</v>
      </c>
      <c r="H81" t="n">
        <v>2025</v>
      </c>
      <c r="I81" t="inlineStr">
        <is>
          <t>FY</t>
        </is>
      </c>
      <c r="J81" t="inlineStr">
        <is>
          <t>10-K</t>
        </is>
      </c>
      <c r="K81" t="inlineStr">
        <is>
          <t>2026-03-02</t>
        </is>
      </c>
      <c r="L81" t="inlineStr">
        <is>
          <t>0001769628-26-000104</t>
        </is>
      </c>
      <c r="M81" t="inlineStr">
        <is>
          <t>CY2024Q4I</t>
        </is>
      </c>
    </row>
    <row r="82">
      <c r="A82" t="inlineStr">
        <is>
          <t>debt_principal</t>
        </is>
      </c>
      <c r="B82" t="inlineStr">
        <is>
          <t>DebtInstrumentCarryingAmount</t>
        </is>
      </c>
      <c r="C82" t="inlineStr">
        <is>
          <t>us-gaap</t>
        </is>
      </c>
      <c r="D82" t="inlineStr">
        <is>
          <t>USD</t>
        </is>
      </c>
      <c r="F82" t="inlineStr">
        <is>
          <t>2025-03-31</t>
        </is>
      </c>
      <c r="G82" t="n">
        <v>8807921000</v>
      </c>
      <c r="H82" t="n">
        <v>2025</v>
      </c>
      <c r="I82" t="inlineStr">
        <is>
          <t>Q1</t>
        </is>
      </c>
      <c r="J82" t="inlineStr">
        <is>
          <t>10-Q</t>
        </is>
      </c>
      <c r="K82" t="inlineStr">
        <is>
          <t>2025-05-15</t>
        </is>
      </c>
      <c r="L82" t="inlineStr">
        <is>
          <t>0001769628-25-000014</t>
        </is>
      </c>
      <c r="M82" t="inlineStr">
        <is>
          <t>CY2025Q1I</t>
        </is>
      </c>
    </row>
    <row r="83">
      <c r="A83" t="inlineStr">
        <is>
          <t>debt_principal</t>
        </is>
      </c>
      <c r="B83" t="inlineStr">
        <is>
          <t>DebtInstrumentCarryingAmount</t>
        </is>
      </c>
      <c r="C83" t="inlineStr">
        <is>
          <t>us-gaap</t>
        </is>
      </c>
      <c r="D83" t="inlineStr">
        <is>
          <t>USD</t>
        </is>
      </c>
      <c r="F83" t="inlineStr">
        <is>
          <t>2025-06-30</t>
        </is>
      </c>
      <c r="G83" t="n">
        <v>11171485000</v>
      </c>
      <c r="H83" t="n">
        <v>2025</v>
      </c>
      <c r="I83" t="inlineStr">
        <is>
          <t>Q2</t>
        </is>
      </c>
      <c r="J83" t="inlineStr">
        <is>
          <t>10-Q</t>
        </is>
      </c>
      <c r="K83" t="inlineStr">
        <is>
          <t>2025-08-13</t>
        </is>
      </c>
      <c r="L83" t="inlineStr">
        <is>
          <t>0001769628-25-000041</t>
        </is>
      </c>
      <c r="M83" t="inlineStr">
        <is>
          <t>CY2025Q2I</t>
        </is>
      </c>
    </row>
    <row r="84">
      <c r="A84" t="inlineStr">
        <is>
          <t>debt_principal</t>
        </is>
      </c>
      <c r="B84" t="inlineStr">
        <is>
          <t>DebtInstrumentCarryingAmount</t>
        </is>
      </c>
      <c r="C84" t="inlineStr">
        <is>
          <t>us-gaap</t>
        </is>
      </c>
      <c r="D84" t="inlineStr">
        <is>
          <t>USD</t>
        </is>
      </c>
      <c r="F84" t="inlineStr">
        <is>
          <t>2025-09-30</t>
        </is>
      </c>
      <c r="G84" t="n">
        <v>14205268000</v>
      </c>
      <c r="H84" t="n">
        <v>2025</v>
      </c>
      <c r="I84" t="inlineStr">
        <is>
          <t>Q3</t>
        </is>
      </c>
      <c r="J84" t="inlineStr">
        <is>
          <t>10-Q</t>
        </is>
      </c>
      <c r="K84" t="inlineStr">
        <is>
          <t>2025-11-13</t>
        </is>
      </c>
      <c r="L84" t="inlineStr">
        <is>
          <t>0001769628-25-000062</t>
        </is>
      </c>
      <c r="M84" t="inlineStr">
        <is>
          <t>CY2025Q3I</t>
        </is>
      </c>
    </row>
    <row r="85">
      <c r="A85" t="inlineStr">
        <is>
          <t>debt_principal</t>
        </is>
      </c>
      <c r="B85" t="inlineStr">
        <is>
          <t>DebtInstrumentCarryingAmount</t>
        </is>
      </c>
      <c r="C85" t="inlineStr">
        <is>
          <t>us-gaap</t>
        </is>
      </c>
      <c r="D85" t="inlineStr">
        <is>
          <t>USD</t>
        </is>
      </c>
      <c r="F85" t="inlineStr">
        <is>
          <t>2025-12-31</t>
        </is>
      </c>
      <c r="G85" t="n">
        <v>21615000000</v>
      </c>
      <c r="H85" t="n">
        <v>2025</v>
      </c>
      <c r="I85" t="inlineStr">
        <is>
          <t>FY</t>
        </is>
      </c>
      <c r="J85" t="inlineStr">
        <is>
          <t>10-K</t>
        </is>
      </c>
      <c r="K85" t="inlineStr">
        <is>
          <t>2026-03-02</t>
        </is>
      </c>
      <c r="L85" t="inlineStr">
        <is>
          <t>0001769628-26-000104</t>
        </is>
      </c>
    </row>
    <row r="86">
      <c r="A86" t="inlineStr">
        <is>
          <t>debt_principal</t>
        </is>
      </c>
      <c r="B86" t="inlineStr">
        <is>
          <t>DebtInstrumentCarryingAmount</t>
        </is>
      </c>
      <c r="C86" t="inlineStr">
        <is>
          <t>us-gaap</t>
        </is>
      </c>
      <c r="D86" t="inlineStr">
        <is>
          <t>USD</t>
        </is>
      </c>
      <c r="F86" t="inlineStr">
        <is>
          <t>2025-12-31</t>
        </is>
      </c>
      <c r="G86" t="n">
        <v>21615000000</v>
      </c>
      <c r="H86" t="n">
        <v>2026</v>
      </c>
      <c r="I86" t="inlineStr">
        <is>
          <t>Q1</t>
        </is>
      </c>
      <c r="J86" t="inlineStr">
        <is>
          <t>10-Q</t>
        </is>
      </c>
      <c r="K86" t="inlineStr">
        <is>
          <t>2026-05-08</t>
        </is>
      </c>
      <c r="L86" t="inlineStr">
        <is>
          <t>0001769628-26-000222</t>
        </is>
      </c>
      <c r="M86" t="inlineStr">
        <is>
          <t>CY2025Q4I</t>
        </is>
      </c>
    </row>
    <row r="87">
      <c r="A87" t="inlineStr">
        <is>
          <t>debt_principal</t>
        </is>
      </c>
      <c r="B87" t="inlineStr">
        <is>
          <t>DebtInstrumentCarryingAmount</t>
        </is>
      </c>
      <c r="C87" t="inlineStr">
        <is>
          <t>us-gaap</t>
        </is>
      </c>
      <c r="D87" t="inlineStr">
        <is>
          <t>USD</t>
        </is>
      </c>
      <c r="F87" t="inlineStr">
        <is>
          <t>2026-03-31</t>
        </is>
      </c>
      <c r="G87" t="n">
        <v>25149000000</v>
      </c>
      <c r="H87" t="n">
        <v>2026</v>
      </c>
      <c r="I87" t="inlineStr">
        <is>
          <t>Q1</t>
        </is>
      </c>
      <c r="J87" t="inlineStr">
        <is>
          <t>10-Q</t>
        </is>
      </c>
      <c r="K87" t="inlineStr">
        <is>
          <t>2026-05-08</t>
        </is>
      </c>
      <c r="L87" t="inlineStr">
        <is>
          <t>0001769628-26-000222</t>
        </is>
      </c>
      <c r="M87" t="inlineStr">
        <is>
          <t>CY2026Q1I</t>
        </is>
      </c>
    </row>
    <row r="88">
      <c r="A88" t="inlineStr">
        <is>
          <t>debt_principal</t>
        </is>
      </c>
      <c r="B88" t="inlineStr">
        <is>
          <t>DebtInstrumentCarryingAmount</t>
        </is>
      </c>
      <c r="C88" t="inlineStr">
        <is>
          <t>us-gaap</t>
        </is>
      </c>
      <c r="D88" t="inlineStr">
        <is>
          <t>USD</t>
        </is>
      </c>
      <c r="F88" t="inlineStr">
        <is>
          <t>2026-06-30</t>
        </is>
      </c>
      <c r="G88" t="n">
        <v>35551000000</v>
      </c>
      <c r="H88" t="n">
        <v>2026</v>
      </c>
      <c r="I88" t="inlineStr">
        <is>
          <t>Q2</t>
        </is>
      </c>
      <c r="J88" t="inlineStr">
        <is>
          <t>10-Q</t>
        </is>
      </c>
      <c r="K88" t="inlineStr">
        <is>
          <t>2026-08-12</t>
        </is>
      </c>
      <c r="L88" t="inlineStr">
        <is>
          <t>0001769628-26-000366</t>
        </is>
      </c>
      <c r="M88" t="inlineStr">
        <is>
          <t>CY2026Q2I</t>
        </is>
      </c>
    </row>
    <row r="89">
      <c r="A89" t="inlineStr">
        <is>
          <t>debt_proceeds</t>
        </is>
      </c>
      <c r="B89" t="inlineStr">
        <is>
          <t>ProceedsFromIssuanceOfLongTermDebt</t>
        </is>
      </c>
      <c r="C89" t="inlineStr">
        <is>
          <t>us-gaap</t>
        </is>
      </c>
      <c r="D89" t="inlineStr">
        <is>
          <t>USD</t>
        </is>
      </c>
      <c r="E89" t="inlineStr">
        <is>
          <t>2023-01-01</t>
        </is>
      </c>
      <c r="F89" t="inlineStr">
        <is>
          <t>2023-12-31</t>
        </is>
      </c>
      <c r="G89" t="n">
        <v>1404000000</v>
      </c>
      <c r="H89" t="n">
        <v>2025</v>
      </c>
      <c r="I89" t="inlineStr">
        <is>
          <t>FY</t>
        </is>
      </c>
      <c r="J89" t="inlineStr">
        <is>
          <t>10-K</t>
        </is>
      </c>
      <c r="K89" t="inlineStr">
        <is>
          <t>2026-03-02</t>
        </is>
      </c>
      <c r="L89" t="inlineStr">
        <is>
          <t>0001769628-26-000104</t>
        </is>
      </c>
      <c r="M89" t="inlineStr">
        <is>
          <t>CY2023</t>
        </is>
      </c>
    </row>
    <row r="90">
      <c r="A90" t="inlineStr">
        <is>
          <t>debt_proceeds</t>
        </is>
      </c>
      <c r="B90" t="inlineStr">
        <is>
          <t>ProceedsFromIssuanceOfLongTermDebt</t>
        </is>
      </c>
      <c r="C90" t="inlineStr">
        <is>
          <t>us-gaap</t>
        </is>
      </c>
      <c r="D90" t="inlineStr">
        <is>
          <t>USD</t>
        </is>
      </c>
      <c r="E90" t="inlineStr">
        <is>
          <t>2024-01-01</t>
        </is>
      </c>
      <c r="F90" t="inlineStr">
        <is>
          <t>2024-03-31</t>
        </is>
      </c>
      <c r="G90" t="n">
        <v>931647000</v>
      </c>
      <c r="H90" t="n">
        <v>2025</v>
      </c>
      <c r="I90" t="inlineStr">
        <is>
          <t>Q1</t>
        </is>
      </c>
      <c r="J90" t="inlineStr">
        <is>
          <t>10-Q</t>
        </is>
      </c>
      <c r="K90" t="inlineStr">
        <is>
          <t>2025-05-15</t>
        </is>
      </c>
      <c r="L90" t="inlineStr">
        <is>
          <t>0001769628-25-000014</t>
        </is>
      </c>
      <c r="M90" t="inlineStr">
        <is>
          <t>CY2024Q1</t>
        </is>
      </c>
    </row>
    <row r="91">
      <c r="A91" t="inlineStr">
        <is>
          <t>debt_proceeds</t>
        </is>
      </c>
      <c r="B91" t="inlineStr">
        <is>
          <t>ProceedsFromIssuanceOfLongTermDebt</t>
        </is>
      </c>
      <c r="C91" t="inlineStr">
        <is>
          <t>us-gaap</t>
        </is>
      </c>
      <c r="D91" t="inlineStr">
        <is>
          <t>USD</t>
        </is>
      </c>
      <c r="E91" t="inlineStr">
        <is>
          <t>2024-01-01</t>
        </is>
      </c>
      <c r="F91" t="inlineStr">
        <is>
          <t>2024-06-30</t>
        </is>
      </c>
      <c r="G91" t="n">
        <v>1821541000</v>
      </c>
      <c r="H91" t="n">
        <v>2025</v>
      </c>
      <c r="I91" t="inlineStr">
        <is>
          <t>Q2</t>
        </is>
      </c>
      <c r="J91" t="inlineStr">
        <is>
          <t>10-Q</t>
        </is>
      </c>
      <c r="K91" t="inlineStr">
        <is>
          <t>2025-08-13</t>
        </is>
      </c>
      <c r="L91" t="inlineStr">
        <is>
          <t>0001769628-25-000041</t>
        </is>
      </c>
    </row>
    <row r="92">
      <c r="A92" t="inlineStr">
        <is>
          <t>debt_proceeds</t>
        </is>
      </c>
      <c r="B92" t="inlineStr">
        <is>
          <t>ProceedsFromIssuanceOfLongTermDebt</t>
        </is>
      </c>
      <c r="C92" t="inlineStr">
        <is>
          <t>us-gaap</t>
        </is>
      </c>
      <c r="D92" t="inlineStr">
        <is>
          <t>USD</t>
        </is>
      </c>
      <c r="E92" t="inlineStr">
        <is>
          <t>2024-01-01</t>
        </is>
      </c>
      <c r="F92" t="inlineStr">
        <is>
          <t>2024-09-30</t>
        </is>
      </c>
      <c r="G92" t="n">
        <v>3329121000</v>
      </c>
      <c r="H92" t="n">
        <v>2025</v>
      </c>
      <c r="I92" t="inlineStr">
        <is>
          <t>Q3</t>
        </is>
      </c>
      <c r="J92" t="inlineStr">
        <is>
          <t>10-Q</t>
        </is>
      </c>
      <c r="K92" t="inlineStr">
        <is>
          <t>2025-11-13</t>
        </is>
      </c>
      <c r="L92" t="inlineStr">
        <is>
          <t>0001769628-25-000062</t>
        </is>
      </c>
    </row>
    <row r="93">
      <c r="A93" t="inlineStr">
        <is>
          <t>debt_proceeds</t>
        </is>
      </c>
      <c r="B93" t="inlineStr">
        <is>
          <t>ProceedsFromIssuanceOfLongTermDebt</t>
        </is>
      </c>
      <c r="C93" t="inlineStr">
        <is>
          <t>us-gaap</t>
        </is>
      </c>
      <c r="D93" t="inlineStr">
        <is>
          <t>USD</t>
        </is>
      </c>
      <c r="E93" t="inlineStr">
        <is>
          <t>2024-01-01</t>
        </is>
      </c>
      <c r="F93" t="inlineStr">
        <is>
          <t>2024-12-31</t>
        </is>
      </c>
      <c r="G93" t="n">
        <v>7018000000</v>
      </c>
      <c r="H93" t="n">
        <v>2025</v>
      </c>
      <c r="I93" t="inlineStr">
        <is>
          <t>FY</t>
        </is>
      </c>
      <c r="J93" t="inlineStr">
        <is>
          <t>10-K</t>
        </is>
      </c>
      <c r="K93" t="inlineStr">
        <is>
          <t>2026-03-02</t>
        </is>
      </c>
      <c r="L93" t="inlineStr">
        <is>
          <t>0001769628-26-000104</t>
        </is>
      </c>
      <c r="M93" t="inlineStr">
        <is>
          <t>CY2024</t>
        </is>
      </c>
    </row>
    <row r="94">
      <c r="A94" t="inlineStr">
        <is>
          <t>debt_proceeds</t>
        </is>
      </c>
      <c r="B94" t="inlineStr">
        <is>
          <t>ProceedsFromIssuanceOfLongTermDebt</t>
        </is>
      </c>
      <c r="C94" t="inlineStr">
        <is>
          <t>us-gaap</t>
        </is>
      </c>
      <c r="D94" t="inlineStr">
        <is>
          <t>USD</t>
        </is>
      </c>
      <c r="E94" t="inlineStr">
        <is>
          <t>2025-01-01</t>
        </is>
      </c>
      <c r="F94" t="inlineStr">
        <is>
          <t>2025-03-31</t>
        </is>
      </c>
      <c r="G94" t="n">
        <v>784956000</v>
      </c>
      <c r="H94" t="n">
        <v>2025</v>
      </c>
      <c r="I94" t="inlineStr">
        <is>
          <t>Q1</t>
        </is>
      </c>
      <c r="J94" t="inlineStr">
        <is>
          <t>10-Q</t>
        </is>
      </c>
      <c r="K94" t="inlineStr">
        <is>
          <t>2025-05-15</t>
        </is>
      </c>
      <c r="L94" t="inlineStr">
        <is>
          <t>0001769628-25-000014</t>
        </is>
      </c>
    </row>
    <row r="95">
      <c r="A95" t="inlineStr">
        <is>
          <t>debt_proceeds</t>
        </is>
      </c>
      <c r="B95" t="inlineStr">
        <is>
          <t>ProceedsFromIssuanceOfLongTermDebt</t>
        </is>
      </c>
      <c r="C95" t="inlineStr">
        <is>
          <t>us-gaap</t>
        </is>
      </c>
      <c r="D95" t="inlineStr">
        <is>
          <t>USD</t>
        </is>
      </c>
      <c r="E95" t="inlineStr">
        <is>
          <t>2025-01-01</t>
        </is>
      </c>
      <c r="F95" t="inlineStr">
        <is>
          <t>2025-03-31</t>
        </is>
      </c>
      <c r="G95" t="n">
        <v>785000000</v>
      </c>
      <c r="H95" t="n">
        <v>2026</v>
      </c>
      <c r="I95" t="inlineStr">
        <is>
          <t>Q1</t>
        </is>
      </c>
      <c r="J95" t="inlineStr">
        <is>
          <t>10-Q</t>
        </is>
      </c>
      <c r="K95" t="inlineStr">
        <is>
          <t>2026-05-08</t>
        </is>
      </c>
      <c r="L95" t="inlineStr">
        <is>
          <t>0001769628-26-000222</t>
        </is>
      </c>
      <c r="M95" t="inlineStr">
        <is>
          <t>CY2025Q1</t>
        </is>
      </c>
    </row>
    <row r="96">
      <c r="A96" t="inlineStr">
        <is>
          <t>debt_proceeds</t>
        </is>
      </c>
      <c r="B96" t="inlineStr">
        <is>
          <t>ProceedsFromIssuanceOfLongTermDebt</t>
        </is>
      </c>
      <c r="C96" t="inlineStr">
        <is>
          <t>us-gaap</t>
        </is>
      </c>
      <c r="D96" t="inlineStr">
        <is>
          <t>USD</t>
        </is>
      </c>
      <c r="E96" t="inlineStr">
        <is>
          <t>2025-01-01</t>
        </is>
      </c>
      <c r="F96" t="inlineStr">
        <is>
          <t>2025-06-30</t>
        </is>
      </c>
      <c r="G96" t="n">
        <v>4432723000</v>
      </c>
      <c r="H96" t="n">
        <v>2025</v>
      </c>
      <c r="I96" t="inlineStr">
        <is>
          <t>Q2</t>
        </is>
      </c>
      <c r="J96" t="inlineStr">
        <is>
          <t>10-Q</t>
        </is>
      </c>
      <c r="K96" t="inlineStr">
        <is>
          <t>2025-08-13</t>
        </is>
      </c>
      <c r="L96" t="inlineStr">
        <is>
          <t>0001769628-25-000041</t>
        </is>
      </c>
    </row>
    <row r="97">
      <c r="A97" t="inlineStr">
        <is>
          <t>debt_proceeds</t>
        </is>
      </c>
      <c r="B97" t="inlineStr">
        <is>
          <t>ProceedsFromIssuanceOfLongTermDebt</t>
        </is>
      </c>
      <c r="C97" t="inlineStr">
        <is>
          <t>us-gaap</t>
        </is>
      </c>
      <c r="D97" t="inlineStr">
        <is>
          <t>USD</t>
        </is>
      </c>
      <c r="E97" t="inlineStr">
        <is>
          <t>2025-01-01</t>
        </is>
      </c>
      <c r="F97" t="inlineStr">
        <is>
          <t>2025-06-30</t>
        </is>
      </c>
      <c r="G97" t="n">
        <v>4396000000</v>
      </c>
      <c r="H97" t="n">
        <v>2026</v>
      </c>
      <c r="I97" t="inlineStr">
        <is>
          <t>Q2</t>
        </is>
      </c>
      <c r="J97" t="inlineStr">
        <is>
          <t>10-Q</t>
        </is>
      </c>
      <c r="K97" t="inlineStr">
        <is>
          <t>2026-08-12</t>
        </is>
      </c>
      <c r="L97" t="inlineStr">
        <is>
          <t>0001769628-26-000366</t>
        </is>
      </c>
    </row>
    <row r="98">
      <c r="A98" t="inlineStr">
        <is>
          <t>debt_proceeds</t>
        </is>
      </c>
      <c r="B98" t="inlineStr">
        <is>
          <t>ProceedsFromIssuanceOfLongTermDebt</t>
        </is>
      </c>
      <c r="C98" t="inlineStr">
        <is>
          <t>us-gaap</t>
        </is>
      </c>
      <c r="D98" t="inlineStr">
        <is>
          <t>USD</t>
        </is>
      </c>
      <c r="E98" t="inlineStr">
        <is>
          <t>2025-01-01</t>
        </is>
      </c>
      <c r="F98" t="inlineStr">
        <is>
          <t>2025-09-30</t>
        </is>
      </c>
      <c r="G98" t="n">
        <v>7562686000</v>
      </c>
      <c r="H98" t="n">
        <v>2025</v>
      </c>
      <c r="I98" t="inlineStr">
        <is>
          <t>Q3</t>
        </is>
      </c>
      <c r="J98" t="inlineStr">
        <is>
          <t>10-Q</t>
        </is>
      </c>
      <c r="K98" t="inlineStr">
        <is>
          <t>2025-11-13</t>
        </is>
      </c>
      <c r="L98" t="inlineStr">
        <is>
          <t>0001769628-25-000062</t>
        </is>
      </c>
    </row>
    <row r="99">
      <c r="A99" t="inlineStr">
        <is>
          <t>debt_proceeds</t>
        </is>
      </c>
      <c r="B99" t="inlineStr">
        <is>
          <t>ProceedsFromIssuanceOfLongTermDebt</t>
        </is>
      </c>
      <c r="C99" t="inlineStr">
        <is>
          <t>us-gaap</t>
        </is>
      </c>
      <c r="D99" t="inlineStr">
        <is>
          <t>USD</t>
        </is>
      </c>
      <c r="E99" t="inlineStr">
        <is>
          <t>2025-01-01</t>
        </is>
      </c>
      <c r="F99" t="inlineStr">
        <is>
          <t>2025-12-31</t>
        </is>
      </c>
      <c r="G99" t="n">
        <v>11829000000</v>
      </c>
      <c r="H99" t="n">
        <v>2025</v>
      </c>
      <c r="I99" t="inlineStr">
        <is>
          <t>FY</t>
        </is>
      </c>
      <c r="J99" t="inlineStr">
        <is>
          <t>10-K</t>
        </is>
      </c>
      <c r="K99" t="inlineStr">
        <is>
          <t>2026-03-02</t>
        </is>
      </c>
      <c r="L99" t="inlineStr">
        <is>
          <t>0001769628-26-000104</t>
        </is>
      </c>
      <c r="M99" t="inlineStr">
        <is>
          <t>CY2025</t>
        </is>
      </c>
    </row>
    <row r="100">
      <c r="A100" t="inlineStr">
        <is>
          <t>debt_proceeds</t>
        </is>
      </c>
      <c r="B100" t="inlineStr">
        <is>
          <t>ProceedsFromIssuanceOfLongTermDebt</t>
        </is>
      </c>
      <c r="C100" t="inlineStr">
        <is>
          <t>us-gaap</t>
        </is>
      </c>
      <c r="D100" t="inlineStr">
        <is>
          <t>USD</t>
        </is>
      </c>
      <c r="E100" t="inlineStr">
        <is>
          <t>2026-01-01</t>
        </is>
      </c>
      <c r="F100" t="inlineStr">
        <is>
          <t>2026-03-31</t>
        </is>
      </c>
      <c r="G100" t="n">
        <v>3290000000</v>
      </c>
      <c r="H100" t="n">
        <v>2026</v>
      </c>
      <c r="I100" t="inlineStr">
        <is>
          <t>Q1</t>
        </is>
      </c>
      <c r="J100" t="inlineStr">
        <is>
          <t>10-Q</t>
        </is>
      </c>
      <c r="K100" t="inlineStr">
        <is>
          <t>2026-05-08</t>
        </is>
      </c>
      <c r="L100" t="inlineStr">
        <is>
          <t>0001769628-26-000222</t>
        </is>
      </c>
      <c r="M100" t="inlineStr">
        <is>
          <t>CY2026Q1</t>
        </is>
      </c>
    </row>
    <row r="101">
      <c r="A101" t="inlineStr">
        <is>
          <t>debt_proceeds</t>
        </is>
      </c>
      <c r="B101" t="inlineStr">
        <is>
          <t>ProceedsFromIssuanceOfLongTermDebt</t>
        </is>
      </c>
      <c r="C101" t="inlineStr">
        <is>
          <t>us-gaap</t>
        </is>
      </c>
      <c r="D101" t="inlineStr">
        <is>
          <t>USD</t>
        </is>
      </c>
      <c r="E101" t="inlineStr">
        <is>
          <t>2026-01-01</t>
        </is>
      </c>
      <c r="F101" t="inlineStr">
        <is>
          <t>2026-06-30</t>
        </is>
      </c>
      <c r="G101" t="n">
        <v>16747000000</v>
      </c>
      <c r="H101" t="n">
        <v>2026</v>
      </c>
      <c r="I101" t="inlineStr">
        <is>
          <t>Q2</t>
        </is>
      </c>
      <c r="J101" t="inlineStr">
        <is>
          <t>10-Q</t>
        </is>
      </c>
      <c r="K101" t="inlineStr">
        <is>
          <t>2026-08-12</t>
        </is>
      </c>
      <c r="L101" t="inlineStr">
        <is>
          <t>0001769628-26-000366</t>
        </is>
      </c>
    </row>
    <row r="102">
      <c r="A102" t="inlineStr">
        <is>
          <t>debt_repayments</t>
        </is>
      </c>
      <c r="B102" t="inlineStr">
        <is>
          <t>RepaymentsOfLongTermDebt</t>
        </is>
      </c>
      <c r="C102" t="inlineStr">
        <is>
          <t>us-gaap</t>
        </is>
      </c>
      <c r="D102" t="inlineStr">
        <is>
          <t>USD</t>
        </is>
      </c>
      <c r="E102" t="inlineStr">
        <is>
          <t>2023-01-01</t>
        </is>
      </c>
      <c r="F102" t="inlineStr">
        <is>
          <t>2023-12-31</t>
        </is>
      </c>
      <c r="G102" t="n">
        <v>2000000</v>
      </c>
      <c r="H102" t="n">
        <v>2025</v>
      </c>
      <c r="I102" t="inlineStr">
        <is>
          <t>FY</t>
        </is>
      </c>
      <c r="J102" t="inlineStr">
        <is>
          <t>10-K</t>
        </is>
      </c>
      <c r="K102" t="inlineStr">
        <is>
          <t>2026-03-02</t>
        </is>
      </c>
      <c r="L102" t="inlineStr">
        <is>
          <t>0001769628-26-000104</t>
        </is>
      </c>
      <c r="M102" t="inlineStr">
        <is>
          <t>CY2023</t>
        </is>
      </c>
    </row>
    <row r="103">
      <c r="A103" t="inlineStr">
        <is>
          <t>debt_repayments</t>
        </is>
      </c>
      <c r="B103" t="inlineStr">
        <is>
          <t>RepaymentsOfLongTermDebt</t>
        </is>
      </c>
      <c r="C103" t="inlineStr">
        <is>
          <t>us-gaap</t>
        </is>
      </c>
      <c r="D103" t="inlineStr">
        <is>
          <t>USD</t>
        </is>
      </c>
      <c r="E103" t="inlineStr">
        <is>
          <t>2024-01-01</t>
        </is>
      </c>
      <c r="F103" t="inlineStr">
        <is>
          <t>2024-03-31</t>
        </is>
      </c>
      <c r="G103" t="n">
        <v>4956000</v>
      </c>
      <c r="H103" t="n">
        <v>2025</v>
      </c>
      <c r="I103" t="inlineStr">
        <is>
          <t>Q1</t>
        </is>
      </c>
      <c r="J103" t="inlineStr">
        <is>
          <t>10-Q</t>
        </is>
      </c>
      <c r="K103" t="inlineStr">
        <is>
          <t>2025-05-15</t>
        </is>
      </c>
      <c r="L103" t="inlineStr">
        <is>
          <t>0001769628-25-000014</t>
        </is>
      </c>
      <c r="M103" t="inlineStr">
        <is>
          <t>CY2024Q1</t>
        </is>
      </c>
    </row>
    <row r="104">
      <c r="A104" t="inlineStr">
        <is>
          <t>debt_repayments</t>
        </is>
      </c>
      <c r="B104" t="inlineStr">
        <is>
          <t>RepaymentsOfLongTermDebt</t>
        </is>
      </c>
      <c r="C104" t="inlineStr">
        <is>
          <t>us-gaap</t>
        </is>
      </c>
      <c r="D104" t="inlineStr">
        <is>
          <t>USD</t>
        </is>
      </c>
      <c r="E104" t="inlineStr">
        <is>
          <t>2024-01-01</t>
        </is>
      </c>
      <c r="F104" t="inlineStr">
        <is>
          <t>2024-06-30</t>
        </is>
      </c>
      <c r="G104" t="n">
        <v>74416000</v>
      </c>
      <c r="H104" t="n">
        <v>2025</v>
      </c>
      <c r="I104" t="inlineStr">
        <is>
          <t>Q2</t>
        </is>
      </c>
      <c r="J104" t="inlineStr">
        <is>
          <t>10-Q</t>
        </is>
      </c>
      <c r="K104" t="inlineStr">
        <is>
          <t>2025-08-13</t>
        </is>
      </c>
      <c r="L104" t="inlineStr">
        <is>
          <t>0001769628-25-000041</t>
        </is>
      </c>
    </row>
    <row r="105">
      <c r="A105" t="inlineStr">
        <is>
          <t>debt_repayments</t>
        </is>
      </c>
      <c r="B105" t="inlineStr">
        <is>
          <t>RepaymentsOfLongTermDebt</t>
        </is>
      </c>
      <c r="C105" t="inlineStr">
        <is>
          <t>us-gaap</t>
        </is>
      </c>
      <c r="D105" t="inlineStr">
        <is>
          <t>USD</t>
        </is>
      </c>
      <c r="E105" t="inlineStr">
        <is>
          <t>2024-01-01</t>
        </is>
      </c>
      <c r="F105" t="inlineStr">
        <is>
          <t>2024-09-30</t>
        </is>
      </c>
      <c r="G105" t="n">
        <v>364127000</v>
      </c>
      <c r="H105" t="n">
        <v>2025</v>
      </c>
      <c r="I105" t="inlineStr">
        <is>
          <t>Q3</t>
        </is>
      </c>
      <c r="J105" t="inlineStr">
        <is>
          <t>10-Q</t>
        </is>
      </c>
      <c r="K105" t="inlineStr">
        <is>
          <t>2025-11-13</t>
        </is>
      </c>
      <c r="L105" t="inlineStr">
        <is>
          <t>0001769628-25-000062</t>
        </is>
      </c>
    </row>
    <row r="106">
      <c r="A106" t="inlineStr">
        <is>
          <t>debt_repayments</t>
        </is>
      </c>
      <c r="B106" t="inlineStr">
        <is>
          <t>RepaymentsOfLongTermDebt</t>
        </is>
      </c>
      <c r="C106" t="inlineStr">
        <is>
          <t>us-gaap</t>
        </is>
      </c>
      <c r="D106" t="inlineStr">
        <is>
          <t>USD</t>
        </is>
      </c>
      <c r="E106" t="inlineStr">
        <is>
          <t>2024-01-01</t>
        </is>
      </c>
      <c r="F106" t="inlineStr">
        <is>
          <t>2024-12-31</t>
        </is>
      </c>
      <c r="G106" t="n">
        <v>589000000</v>
      </c>
      <c r="H106" t="n">
        <v>2025</v>
      </c>
      <c r="I106" t="inlineStr">
        <is>
          <t>FY</t>
        </is>
      </c>
      <c r="J106" t="inlineStr">
        <is>
          <t>10-K</t>
        </is>
      </c>
      <c r="K106" t="inlineStr">
        <is>
          <t>2026-03-02</t>
        </is>
      </c>
      <c r="L106" t="inlineStr">
        <is>
          <t>0001769628-26-000104</t>
        </is>
      </c>
      <c r="M106" t="inlineStr">
        <is>
          <t>CY2024</t>
        </is>
      </c>
    </row>
    <row r="107">
      <c r="A107" t="inlineStr">
        <is>
          <t>debt_repayments</t>
        </is>
      </c>
      <c r="B107" t="inlineStr">
        <is>
          <t>RepaymentsOfLongTermDebt</t>
        </is>
      </c>
      <c r="C107" t="inlineStr">
        <is>
          <t>us-gaap</t>
        </is>
      </c>
      <c r="D107" t="inlineStr">
        <is>
          <t>USD</t>
        </is>
      </c>
      <c r="E107" t="inlineStr">
        <is>
          <t>2025-01-01</t>
        </is>
      </c>
      <c r="F107" t="inlineStr">
        <is>
          <t>2025-03-31</t>
        </is>
      </c>
      <c r="G107" t="n">
        <v>271104000</v>
      </c>
      <c r="H107" t="n">
        <v>2025</v>
      </c>
      <c r="I107" t="inlineStr">
        <is>
          <t>Q1</t>
        </is>
      </c>
      <c r="J107" t="inlineStr">
        <is>
          <t>10-Q</t>
        </is>
      </c>
      <c r="K107" t="inlineStr">
        <is>
          <t>2025-05-15</t>
        </is>
      </c>
      <c r="L107" t="inlineStr">
        <is>
          <t>0001769628-25-000014</t>
        </is>
      </c>
    </row>
    <row r="108">
      <c r="A108" t="inlineStr">
        <is>
          <t>debt_repayments</t>
        </is>
      </c>
      <c r="B108" t="inlineStr">
        <is>
          <t>RepaymentsOfLongTermDebt</t>
        </is>
      </c>
      <c r="C108" t="inlineStr">
        <is>
          <t>us-gaap</t>
        </is>
      </c>
      <c r="D108" t="inlineStr">
        <is>
          <t>USD</t>
        </is>
      </c>
      <c r="E108" t="inlineStr">
        <is>
          <t>2025-01-01</t>
        </is>
      </c>
      <c r="F108" t="inlineStr">
        <is>
          <t>2025-03-31</t>
        </is>
      </c>
      <c r="G108" t="n">
        <v>271000000</v>
      </c>
      <c r="H108" t="n">
        <v>2026</v>
      </c>
      <c r="I108" t="inlineStr">
        <is>
          <t>Q1</t>
        </is>
      </c>
      <c r="J108" t="inlineStr">
        <is>
          <t>10-Q</t>
        </is>
      </c>
      <c r="K108" t="inlineStr">
        <is>
          <t>2026-05-08</t>
        </is>
      </c>
      <c r="L108" t="inlineStr">
        <is>
          <t>0001769628-26-000222</t>
        </is>
      </c>
      <c r="M108" t="inlineStr">
        <is>
          <t>CY2025Q1</t>
        </is>
      </c>
    </row>
    <row r="109">
      <c r="A109" t="inlineStr">
        <is>
          <t>debt_repayments</t>
        </is>
      </c>
      <c r="B109" t="inlineStr">
        <is>
          <t>RepaymentsOfLongTermDebt</t>
        </is>
      </c>
      <c r="C109" t="inlineStr">
        <is>
          <t>us-gaap</t>
        </is>
      </c>
      <c r="D109" t="inlineStr">
        <is>
          <t>USD</t>
        </is>
      </c>
      <c r="E109" t="inlineStr">
        <is>
          <t>2025-01-01</t>
        </is>
      </c>
      <c r="F109" t="inlineStr">
        <is>
          <t>2025-06-30</t>
        </is>
      </c>
      <c r="G109" t="n">
        <v>1574867000</v>
      </c>
      <c r="H109" t="n">
        <v>2025</v>
      </c>
      <c r="I109" t="inlineStr">
        <is>
          <t>Q2</t>
        </is>
      </c>
      <c r="J109" t="inlineStr">
        <is>
          <t>10-Q</t>
        </is>
      </c>
      <c r="K109" t="inlineStr">
        <is>
          <t>2025-08-13</t>
        </is>
      </c>
      <c r="L109" t="inlineStr">
        <is>
          <t>0001769628-25-000041</t>
        </is>
      </c>
    </row>
    <row r="110">
      <c r="A110" t="inlineStr">
        <is>
          <t>debt_repayments</t>
        </is>
      </c>
      <c r="B110" t="inlineStr">
        <is>
          <t>RepaymentsOfLongTermDebt</t>
        </is>
      </c>
      <c r="C110" t="inlineStr">
        <is>
          <t>us-gaap</t>
        </is>
      </c>
      <c r="D110" t="inlineStr">
        <is>
          <t>USD</t>
        </is>
      </c>
      <c r="E110" t="inlineStr">
        <is>
          <t>2025-01-01</t>
        </is>
      </c>
      <c r="F110" t="inlineStr">
        <is>
          <t>2025-06-30</t>
        </is>
      </c>
      <c r="G110" t="n">
        <v>1575000000</v>
      </c>
      <c r="H110" t="n">
        <v>2026</v>
      </c>
      <c r="I110" t="inlineStr">
        <is>
          <t>Q2</t>
        </is>
      </c>
      <c r="J110" t="inlineStr">
        <is>
          <t>10-Q</t>
        </is>
      </c>
      <c r="K110" t="inlineStr">
        <is>
          <t>2026-08-12</t>
        </is>
      </c>
      <c r="L110" t="inlineStr">
        <is>
          <t>0001769628-26-000366</t>
        </is>
      </c>
    </row>
    <row r="111">
      <c r="A111" t="inlineStr">
        <is>
          <t>debt_repayments</t>
        </is>
      </c>
      <c r="B111" t="inlineStr">
        <is>
          <t>RepaymentsOfLongTermDebt</t>
        </is>
      </c>
      <c r="C111" t="inlineStr">
        <is>
          <t>us-gaap</t>
        </is>
      </c>
      <c r="D111" t="inlineStr">
        <is>
          <t>USD</t>
        </is>
      </c>
      <c r="E111" t="inlineStr">
        <is>
          <t>2025-01-01</t>
        </is>
      </c>
      <c r="F111" t="inlineStr">
        <is>
          <t>2025-09-30</t>
        </is>
      </c>
      <c r="G111" t="n">
        <v>2978850000</v>
      </c>
      <c r="H111" t="n">
        <v>2025</v>
      </c>
      <c r="I111" t="inlineStr">
        <is>
          <t>Q3</t>
        </is>
      </c>
      <c r="J111" t="inlineStr">
        <is>
          <t>10-Q</t>
        </is>
      </c>
      <c r="K111" t="inlineStr">
        <is>
          <t>2025-11-13</t>
        </is>
      </c>
      <c r="L111" t="inlineStr">
        <is>
          <t>0001769628-25-000062</t>
        </is>
      </c>
    </row>
    <row r="112">
      <c r="A112" t="inlineStr">
        <is>
          <t>debt_repayments</t>
        </is>
      </c>
      <c r="B112" t="inlineStr">
        <is>
          <t>RepaymentsOfLongTermDebt</t>
        </is>
      </c>
      <c r="C112" t="inlineStr">
        <is>
          <t>us-gaap</t>
        </is>
      </c>
      <c r="D112" t="inlineStr">
        <is>
          <t>USD</t>
        </is>
      </c>
      <c r="E112" t="inlineStr">
        <is>
          <t>2025-01-01</t>
        </is>
      </c>
      <c r="F112" t="inlineStr">
        <is>
          <t>2025-12-31</t>
        </is>
      </c>
      <c r="G112" t="n">
        <v>3399000000</v>
      </c>
      <c r="H112" t="n">
        <v>2025</v>
      </c>
      <c r="I112" t="inlineStr">
        <is>
          <t>FY</t>
        </is>
      </c>
      <c r="J112" t="inlineStr">
        <is>
          <t>10-K</t>
        </is>
      </c>
      <c r="K112" t="inlineStr">
        <is>
          <t>2026-03-02</t>
        </is>
      </c>
      <c r="L112" t="inlineStr">
        <is>
          <t>0001769628-26-000104</t>
        </is>
      </c>
      <c r="M112" t="inlineStr">
        <is>
          <t>CY2025</t>
        </is>
      </c>
    </row>
    <row r="113">
      <c r="A113" t="inlineStr">
        <is>
          <t>debt_repayments</t>
        </is>
      </c>
      <c r="B113" t="inlineStr">
        <is>
          <t>RepaymentsOfLongTermDebt</t>
        </is>
      </c>
      <c r="C113" t="inlineStr">
        <is>
          <t>us-gaap</t>
        </is>
      </c>
      <c r="D113" t="inlineStr">
        <is>
          <t>USD</t>
        </is>
      </c>
      <c r="E113" t="inlineStr">
        <is>
          <t>2026-01-01</t>
        </is>
      </c>
      <c r="F113" t="inlineStr">
        <is>
          <t>2026-03-31</t>
        </is>
      </c>
      <c r="G113" t="n">
        <v>1335000000</v>
      </c>
      <c r="H113" t="n">
        <v>2026</v>
      </c>
      <c r="I113" t="inlineStr">
        <is>
          <t>Q1</t>
        </is>
      </c>
      <c r="J113" t="inlineStr">
        <is>
          <t>10-Q</t>
        </is>
      </c>
      <c r="K113" t="inlineStr">
        <is>
          <t>2026-05-08</t>
        </is>
      </c>
      <c r="L113" t="inlineStr">
        <is>
          <t>0001769628-26-000222</t>
        </is>
      </c>
      <c r="M113" t="inlineStr">
        <is>
          <t>CY2026Q1</t>
        </is>
      </c>
    </row>
    <row r="114">
      <c r="A114" t="inlineStr">
        <is>
          <t>debt_repayments</t>
        </is>
      </c>
      <c r="B114" t="inlineStr">
        <is>
          <t>RepaymentsOfLongTermDebt</t>
        </is>
      </c>
      <c r="C114" t="inlineStr">
        <is>
          <t>us-gaap</t>
        </is>
      </c>
      <c r="D114" t="inlineStr">
        <is>
          <t>USD</t>
        </is>
      </c>
      <c r="E114" t="inlineStr">
        <is>
          <t>2026-01-01</t>
        </is>
      </c>
      <c r="F114" t="inlineStr">
        <is>
          <t>2026-06-30</t>
        </is>
      </c>
      <c r="G114" t="n">
        <v>5219000000</v>
      </c>
      <c r="H114" t="n">
        <v>2026</v>
      </c>
      <c r="I114" t="inlineStr">
        <is>
          <t>Q2</t>
        </is>
      </c>
      <c r="J114" t="inlineStr">
        <is>
          <t>10-Q</t>
        </is>
      </c>
      <c r="K114" t="inlineStr">
        <is>
          <t>2026-08-12</t>
        </is>
      </c>
      <c r="L114" t="inlineStr">
        <is>
          <t>0001769628-26-000366</t>
        </is>
      </c>
    </row>
    <row r="115">
      <c r="A115" t="inlineStr">
        <is>
          <t>deferred_revenue</t>
        </is>
      </c>
      <c r="B115" t="inlineStr">
        <is>
          <t>ContractWithCustomerLiability</t>
        </is>
      </c>
      <c r="C115" t="inlineStr">
        <is>
          <t>us-gaap</t>
        </is>
      </c>
      <c r="D115" t="inlineStr">
        <is>
          <t>USD</t>
        </is>
      </c>
      <c r="F115" t="inlineStr">
        <is>
          <t>2024-03-31</t>
        </is>
      </c>
      <c r="G115" t="n">
        <v>4100000000</v>
      </c>
      <c r="H115" t="n">
        <v>2025</v>
      </c>
      <c r="I115" t="inlineStr">
        <is>
          <t>Q1</t>
        </is>
      </c>
      <c r="J115" t="inlineStr">
        <is>
          <t>10-Q</t>
        </is>
      </c>
      <c r="K115" t="inlineStr">
        <is>
          <t>2025-05-15</t>
        </is>
      </c>
      <c r="L115" t="inlineStr">
        <is>
          <t>0001769628-25-000014</t>
        </is>
      </c>
      <c r="M115" t="inlineStr">
        <is>
          <t>CY2024Q1I</t>
        </is>
      </c>
    </row>
    <row r="116">
      <c r="A116" t="inlineStr">
        <is>
          <t>deferred_revenue</t>
        </is>
      </c>
      <c r="B116" t="inlineStr">
        <is>
          <t>ContractWithCustomerLiability</t>
        </is>
      </c>
      <c r="C116" t="inlineStr">
        <is>
          <t>us-gaap</t>
        </is>
      </c>
      <c r="D116" t="inlineStr">
        <is>
          <t>USD</t>
        </is>
      </c>
      <c r="F116" t="inlineStr">
        <is>
          <t>2024-12-31</t>
        </is>
      </c>
      <c r="G116" t="n">
        <v>4100000000</v>
      </c>
      <c r="H116" t="n">
        <v>2025</v>
      </c>
      <c r="I116" t="inlineStr">
        <is>
          <t>Q2</t>
        </is>
      </c>
      <c r="J116" t="inlineStr">
        <is>
          <t>10-Q</t>
        </is>
      </c>
      <c r="K116" t="inlineStr">
        <is>
          <t>2025-08-13</t>
        </is>
      </c>
      <c r="L116" t="inlineStr">
        <is>
          <t>0001769628-25-000041</t>
        </is>
      </c>
    </row>
    <row r="117">
      <c r="A117" t="inlineStr">
        <is>
          <t>deferred_revenue</t>
        </is>
      </c>
      <c r="B117" t="inlineStr">
        <is>
          <t>ContractWithCustomerLiability</t>
        </is>
      </c>
      <c r="C117" t="inlineStr">
        <is>
          <t>us-gaap</t>
        </is>
      </c>
      <c r="D117" t="inlineStr">
        <is>
          <t>USD</t>
        </is>
      </c>
      <c r="F117" t="inlineStr">
        <is>
          <t>2024-12-31</t>
        </is>
      </c>
      <c r="G117" t="n">
        <v>4100000000</v>
      </c>
      <c r="H117" t="n">
        <v>2025</v>
      </c>
      <c r="I117" t="inlineStr">
        <is>
          <t>Q3</t>
        </is>
      </c>
      <c r="J117" t="inlineStr">
        <is>
          <t>10-Q</t>
        </is>
      </c>
      <c r="K117" t="inlineStr">
        <is>
          <t>2025-11-13</t>
        </is>
      </c>
      <c r="L117" t="inlineStr">
        <is>
          <t>0001769628-25-000062</t>
        </is>
      </c>
    </row>
    <row r="118">
      <c r="A118" t="inlineStr">
        <is>
          <t>deferred_revenue</t>
        </is>
      </c>
      <c r="B118" t="inlineStr">
        <is>
          <t>ContractWithCustomerLiability</t>
        </is>
      </c>
      <c r="C118" t="inlineStr">
        <is>
          <t>us-gaap</t>
        </is>
      </c>
      <c r="D118" t="inlineStr">
        <is>
          <t>USD</t>
        </is>
      </c>
      <c r="F118" t="inlineStr">
        <is>
          <t>2024-12-31</t>
        </is>
      </c>
      <c r="G118" t="n">
        <v>4100000000</v>
      </c>
      <c r="H118" t="n">
        <v>2025</v>
      </c>
      <c r="I118" t="inlineStr">
        <is>
          <t>FY</t>
        </is>
      </c>
      <c r="J118" t="inlineStr">
        <is>
          <t>10-K</t>
        </is>
      </c>
      <c r="K118" t="inlineStr">
        <is>
          <t>2026-03-02</t>
        </is>
      </c>
      <c r="L118" t="inlineStr">
        <is>
          <t>0001769628-26-000104</t>
        </is>
      </c>
      <c r="M118" t="inlineStr">
        <is>
          <t>CY2024Q4I</t>
        </is>
      </c>
    </row>
    <row r="119">
      <c r="A119" t="inlineStr">
        <is>
          <t>deferred_revenue</t>
        </is>
      </c>
      <c r="B119" t="inlineStr">
        <is>
          <t>ContractWithCustomerLiability</t>
        </is>
      </c>
      <c r="C119" t="inlineStr">
        <is>
          <t>us-gaap</t>
        </is>
      </c>
      <c r="D119" t="inlineStr">
        <is>
          <t>USD</t>
        </is>
      </c>
      <c r="F119" t="inlineStr">
        <is>
          <t>2025-03-31</t>
        </is>
      </c>
      <c r="G119" t="n">
        <v>4000000000</v>
      </c>
      <c r="H119" t="n">
        <v>2025</v>
      </c>
      <c r="I119" t="inlineStr">
        <is>
          <t>Q1</t>
        </is>
      </c>
      <c r="J119" t="inlineStr">
        <is>
          <t>10-Q</t>
        </is>
      </c>
      <c r="K119" t="inlineStr">
        <is>
          <t>2025-05-15</t>
        </is>
      </c>
      <c r="L119" t="inlineStr">
        <is>
          <t>0001769628-25-000014</t>
        </is>
      </c>
      <c r="M119" t="inlineStr">
        <is>
          <t>CY2025Q1I</t>
        </is>
      </c>
    </row>
    <row r="120">
      <c r="A120" t="inlineStr">
        <is>
          <t>deferred_revenue</t>
        </is>
      </c>
      <c r="B120" t="inlineStr">
        <is>
          <t>ContractWithCustomerLiability</t>
        </is>
      </c>
      <c r="C120" t="inlineStr">
        <is>
          <t>us-gaap</t>
        </is>
      </c>
      <c r="D120" t="inlineStr">
        <is>
          <t>USD</t>
        </is>
      </c>
      <c r="F120" t="inlineStr">
        <is>
          <t>2025-06-30</t>
        </is>
      </c>
      <c r="G120" t="n">
        <v>4800000000</v>
      </c>
      <c r="H120" t="n">
        <v>2025</v>
      </c>
      <c r="I120" t="inlineStr">
        <is>
          <t>Q2</t>
        </is>
      </c>
      <c r="J120" t="inlineStr">
        <is>
          <t>10-Q</t>
        </is>
      </c>
      <c r="K120" t="inlineStr">
        <is>
          <t>2025-08-13</t>
        </is>
      </c>
      <c r="L120" t="inlineStr">
        <is>
          <t>0001769628-25-000041</t>
        </is>
      </c>
      <c r="M120" t="inlineStr">
        <is>
          <t>CY2025Q2I</t>
        </is>
      </c>
    </row>
    <row r="121">
      <c r="A121" t="inlineStr">
        <is>
          <t>deferred_revenue</t>
        </is>
      </c>
      <c r="B121" t="inlineStr">
        <is>
          <t>ContractWithCustomerLiability</t>
        </is>
      </c>
      <c r="C121" t="inlineStr">
        <is>
          <t>us-gaap</t>
        </is>
      </c>
      <c r="D121" t="inlineStr">
        <is>
          <t>USD</t>
        </is>
      </c>
      <c r="F121" t="inlineStr">
        <is>
          <t>2025-09-30</t>
        </is>
      </c>
      <c r="G121" t="n">
        <v>5300000000</v>
      </c>
      <c r="H121" t="n">
        <v>2025</v>
      </c>
      <c r="I121" t="inlineStr">
        <is>
          <t>Q3</t>
        </is>
      </c>
      <c r="J121" t="inlineStr">
        <is>
          <t>10-Q</t>
        </is>
      </c>
      <c r="K121" t="inlineStr">
        <is>
          <t>2025-11-13</t>
        </is>
      </c>
      <c r="L121" t="inlineStr">
        <is>
          <t>0001769628-25-000062</t>
        </is>
      </c>
      <c r="M121" t="inlineStr">
        <is>
          <t>CY2025Q3I</t>
        </is>
      </c>
    </row>
    <row r="122">
      <c r="A122" t="inlineStr">
        <is>
          <t>deferred_revenue</t>
        </is>
      </c>
      <c r="B122" t="inlineStr">
        <is>
          <t>ContractWithCustomerLiability</t>
        </is>
      </c>
      <c r="C122" t="inlineStr">
        <is>
          <t>us-gaap</t>
        </is>
      </c>
      <c r="D122" t="inlineStr">
        <is>
          <t>USD</t>
        </is>
      </c>
      <c r="F122" t="inlineStr">
        <is>
          <t>2025-12-31</t>
        </is>
      </c>
      <c r="G122" t="n">
        <v>8200000000</v>
      </c>
      <c r="H122" t="n">
        <v>2025</v>
      </c>
      <c r="I122" t="inlineStr">
        <is>
          <t>FY</t>
        </is>
      </c>
      <c r="J122" t="inlineStr">
        <is>
          <t>10-K</t>
        </is>
      </c>
      <c r="K122" t="inlineStr">
        <is>
          <t>2026-03-02</t>
        </is>
      </c>
      <c r="L122" t="inlineStr">
        <is>
          <t>0001769628-26-000104</t>
        </is>
      </c>
    </row>
    <row r="123">
      <c r="A123" t="inlineStr">
        <is>
          <t>deferred_revenue</t>
        </is>
      </c>
      <c r="B123" t="inlineStr">
        <is>
          <t>ContractWithCustomerLiability</t>
        </is>
      </c>
      <c r="C123" t="inlineStr">
        <is>
          <t>us-gaap</t>
        </is>
      </c>
      <c r="D123" t="inlineStr">
        <is>
          <t>USD</t>
        </is>
      </c>
      <c r="F123" t="inlineStr">
        <is>
          <t>2025-12-31</t>
        </is>
      </c>
      <c r="G123" t="n">
        <v>8200000000</v>
      </c>
      <c r="H123" t="n">
        <v>2026</v>
      </c>
      <c r="I123" t="inlineStr">
        <is>
          <t>Q1</t>
        </is>
      </c>
      <c r="J123" t="inlineStr">
        <is>
          <t>10-Q</t>
        </is>
      </c>
      <c r="K123" t="inlineStr">
        <is>
          <t>2026-05-08</t>
        </is>
      </c>
      <c r="L123" t="inlineStr">
        <is>
          <t>0001769628-26-000222</t>
        </is>
      </c>
    </row>
    <row r="124">
      <c r="A124" t="inlineStr">
        <is>
          <t>deferred_revenue</t>
        </is>
      </c>
      <c r="B124" t="inlineStr">
        <is>
          <t>ContractWithCustomerLiability</t>
        </is>
      </c>
      <c r="C124" t="inlineStr">
        <is>
          <t>us-gaap</t>
        </is>
      </c>
      <c r="D124" t="inlineStr">
        <is>
          <t>USD</t>
        </is>
      </c>
      <c r="F124" t="inlineStr">
        <is>
          <t>2025-12-31</t>
        </is>
      </c>
      <c r="G124" t="n">
        <v>8200000000</v>
      </c>
      <c r="H124" t="n">
        <v>2026</v>
      </c>
      <c r="I124" t="inlineStr">
        <is>
          <t>Q2</t>
        </is>
      </c>
      <c r="J124" t="inlineStr">
        <is>
          <t>10-Q</t>
        </is>
      </c>
      <c r="K124" t="inlineStr">
        <is>
          <t>2026-08-12</t>
        </is>
      </c>
      <c r="L124" t="inlineStr">
        <is>
          <t>0001769628-26-000366</t>
        </is>
      </c>
      <c r="M124" t="inlineStr">
        <is>
          <t>CY2025Q4I</t>
        </is>
      </c>
    </row>
    <row r="125">
      <c r="A125" t="inlineStr">
        <is>
          <t>deferred_revenue</t>
        </is>
      </c>
      <c r="B125" t="inlineStr">
        <is>
          <t>ContractWithCustomerLiability</t>
        </is>
      </c>
      <c r="C125" t="inlineStr">
        <is>
          <t>us-gaap</t>
        </is>
      </c>
      <c r="D125" t="inlineStr">
        <is>
          <t>USD</t>
        </is>
      </c>
      <c r="F125" t="inlineStr">
        <is>
          <t>2026-03-31</t>
        </is>
      </c>
      <c r="G125" t="n">
        <v>7500000000</v>
      </c>
      <c r="H125" t="n">
        <v>2026</v>
      </c>
      <c r="I125" t="inlineStr">
        <is>
          <t>Q1</t>
        </is>
      </c>
      <c r="J125" t="inlineStr">
        <is>
          <t>10-Q</t>
        </is>
      </c>
      <c r="K125" t="inlineStr">
        <is>
          <t>2026-05-08</t>
        </is>
      </c>
      <c r="L125" t="inlineStr">
        <is>
          <t>0001769628-26-000222</t>
        </is>
      </c>
      <c r="M125" t="inlineStr">
        <is>
          <t>CY2026Q1I</t>
        </is>
      </c>
    </row>
    <row r="126">
      <c r="A126" t="inlineStr">
        <is>
          <t>deferred_revenue</t>
        </is>
      </c>
      <c r="B126" t="inlineStr">
        <is>
          <t>ContractWithCustomerLiability</t>
        </is>
      </c>
      <c r="C126" t="inlineStr">
        <is>
          <t>us-gaap</t>
        </is>
      </c>
      <c r="D126" t="inlineStr">
        <is>
          <t>USD</t>
        </is>
      </c>
      <c r="F126" t="inlineStr">
        <is>
          <t>2026-06-30</t>
        </is>
      </c>
      <c r="G126" t="n">
        <v>9700000000</v>
      </c>
      <c r="H126" t="n">
        <v>2026</v>
      </c>
      <c r="I126" t="inlineStr">
        <is>
          <t>Q2</t>
        </is>
      </c>
      <c r="J126" t="inlineStr">
        <is>
          <t>10-Q</t>
        </is>
      </c>
      <c r="K126" t="inlineStr">
        <is>
          <t>2026-08-12</t>
        </is>
      </c>
      <c r="L126" t="inlineStr">
        <is>
          <t>0001769628-26-000366</t>
        </is>
      </c>
      <c r="M126" t="inlineStr">
        <is>
          <t>CY2026Q2I</t>
        </is>
      </c>
    </row>
    <row r="127">
      <c r="A127" t="inlineStr">
        <is>
          <t>deferred_revenue_change</t>
        </is>
      </c>
      <c r="B127" t="inlineStr">
        <is>
          <t>IncreaseDecreaseInContractWithCustomerLiability</t>
        </is>
      </c>
      <c r="C127" t="inlineStr">
        <is>
          <t>us-gaap</t>
        </is>
      </c>
      <c r="D127" t="inlineStr">
        <is>
          <t>USD</t>
        </is>
      </c>
      <c r="E127" t="inlineStr">
        <is>
          <t>2023-01-01</t>
        </is>
      </c>
      <c r="F127" t="inlineStr">
        <is>
          <t>2023-12-31</t>
        </is>
      </c>
      <c r="G127" t="n">
        <v>1986000000</v>
      </c>
      <c r="H127" t="n">
        <v>2025</v>
      </c>
      <c r="I127" t="inlineStr">
        <is>
          <t>FY</t>
        </is>
      </c>
      <c r="J127" t="inlineStr">
        <is>
          <t>10-K</t>
        </is>
      </c>
      <c r="K127" t="inlineStr">
        <is>
          <t>2026-03-02</t>
        </is>
      </c>
      <c r="L127" t="inlineStr">
        <is>
          <t>0001769628-26-000104</t>
        </is>
      </c>
      <c r="M127" t="inlineStr">
        <is>
          <t>CY2023</t>
        </is>
      </c>
    </row>
    <row r="128">
      <c r="A128" t="inlineStr">
        <is>
          <t>deferred_revenue_change</t>
        </is>
      </c>
      <c r="B128" t="inlineStr">
        <is>
          <t>IncreaseDecreaseInContractWithCustomerLiability</t>
        </is>
      </c>
      <c r="C128" t="inlineStr">
        <is>
          <t>us-gaap</t>
        </is>
      </c>
      <c r="D128" t="inlineStr">
        <is>
          <t>USD</t>
        </is>
      </c>
      <c r="E128" t="inlineStr">
        <is>
          <t>2024-01-01</t>
        </is>
      </c>
      <c r="F128" t="inlineStr">
        <is>
          <t>2024-03-31</t>
        </is>
      </c>
      <c r="G128" t="n">
        <v>1439571000</v>
      </c>
      <c r="H128" t="n">
        <v>2025</v>
      </c>
      <c r="I128" t="inlineStr">
        <is>
          <t>Q1</t>
        </is>
      </c>
      <c r="J128" t="inlineStr">
        <is>
          <t>10-Q</t>
        </is>
      </c>
      <c r="K128" t="inlineStr">
        <is>
          <t>2025-05-15</t>
        </is>
      </c>
      <c r="L128" t="inlineStr">
        <is>
          <t>0001769628-25-000014</t>
        </is>
      </c>
      <c r="M128" t="inlineStr">
        <is>
          <t>CY2024Q1</t>
        </is>
      </c>
    </row>
    <row r="129">
      <c r="A129" t="inlineStr">
        <is>
          <t>deferred_revenue_change</t>
        </is>
      </c>
      <c r="B129" t="inlineStr">
        <is>
          <t>IncreaseDecreaseInContractWithCustomerLiability</t>
        </is>
      </c>
      <c r="C129" t="inlineStr">
        <is>
          <t>us-gaap</t>
        </is>
      </c>
      <c r="D129" t="inlineStr">
        <is>
          <t>USD</t>
        </is>
      </c>
      <c r="E129" t="inlineStr">
        <is>
          <t>2024-01-01</t>
        </is>
      </c>
      <c r="F129" t="inlineStr">
        <is>
          <t>2024-06-30</t>
        </is>
      </c>
      <c r="G129" t="n">
        <v>1524487000</v>
      </c>
      <c r="H129" t="n">
        <v>2025</v>
      </c>
      <c r="I129" t="inlineStr">
        <is>
          <t>Q2</t>
        </is>
      </c>
      <c r="J129" t="inlineStr">
        <is>
          <t>10-Q</t>
        </is>
      </c>
      <c r="K129" t="inlineStr">
        <is>
          <t>2025-08-13</t>
        </is>
      </c>
      <c r="L129" t="inlineStr">
        <is>
          <t>0001769628-25-000041</t>
        </is>
      </c>
    </row>
    <row r="130">
      <c r="A130" t="inlineStr">
        <is>
          <t>deferred_revenue_change</t>
        </is>
      </c>
      <c r="B130" t="inlineStr">
        <is>
          <t>IncreaseDecreaseInContractWithCustomerLiability</t>
        </is>
      </c>
      <c r="C130" t="inlineStr">
        <is>
          <t>us-gaap</t>
        </is>
      </c>
      <c r="D130" t="inlineStr">
        <is>
          <t>USD</t>
        </is>
      </c>
      <c r="E130" t="inlineStr">
        <is>
          <t>2024-01-01</t>
        </is>
      </c>
      <c r="F130" t="inlineStr">
        <is>
          <t>2024-09-30</t>
        </is>
      </c>
      <c r="G130" t="n">
        <v>2417010000</v>
      </c>
      <c r="H130" t="n">
        <v>2025</v>
      </c>
      <c r="I130" t="inlineStr">
        <is>
          <t>Q3</t>
        </is>
      </c>
      <c r="J130" t="inlineStr">
        <is>
          <t>10-Q</t>
        </is>
      </c>
      <c r="K130" t="inlineStr">
        <is>
          <t>2025-11-13</t>
        </is>
      </c>
      <c r="L130" t="inlineStr">
        <is>
          <t>0001769628-25-000062</t>
        </is>
      </c>
    </row>
    <row r="131">
      <c r="A131" t="inlineStr">
        <is>
          <t>deferred_revenue_change</t>
        </is>
      </c>
      <c r="B131" t="inlineStr">
        <is>
          <t>IncreaseDecreaseInContractWithCustomerLiability</t>
        </is>
      </c>
      <c r="C131" t="inlineStr">
        <is>
          <t>us-gaap</t>
        </is>
      </c>
      <c r="D131" t="inlineStr">
        <is>
          <t>USD</t>
        </is>
      </c>
      <c r="E131" t="inlineStr">
        <is>
          <t>2024-01-01</t>
        </is>
      </c>
      <c r="F131" t="inlineStr">
        <is>
          <t>2024-12-31</t>
        </is>
      </c>
      <c r="G131" t="n">
        <v>2049000000</v>
      </c>
      <c r="H131" t="n">
        <v>2025</v>
      </c>
      <c r="I131" t="inlineStr">
        <is>
          <t>FY</t>
        </is>
      </c>
      <c r="J131" t="inlineStr">
        <is>
          <t>10-K</t>
        </is>
      </c>
      <c r="K131" t="inlineStr">
        <is>
          <t>2026-03-02</t>
        </is>
      </c>
      <c r="L131" t="inlineStr">
        <is>
          <t>0001769628-26-000104</t>
        </is>
      </c>
      <c r="M131" t="inlineStr">
        <is>
          <t>CY2024</t>
        </is>
      </c>
    </row>
    <row r="132">
      <c r="A132" t="inlineStr">
        <is>
          <t>deferred_revenue_change</t>
        </is>
      </c>
      <c r="B132" t="inlineStr">
        <is>
          <t>IncreaseDecreaseInContractWithCustomerLiability</t>
        </is>
      </c>
      <c r="C132" t="inlineStr">
        <is>
          <t>us-gaap</t>
        </is>
      </c>
      <c r="D132" t="inlineStr">
        <is>
          <t>USD</t>
        </is>
      </c>
      <c r="E132" t="inlineStr">
        <is>
          <t>2025-01-01</t>
        </is>
      </c>
      <c r="F132" t="inlineStr">
        <is>
          <t>2025-03-31</t>
        </is>
      </c>
      <c r="G132" t="n">
        <v>-15904000</v>
      </c>
      <c r="H132" t="n">
        <v>2025</v>
      </c>
      <c r="I132" t="inlineStr">
        <is>
          <t>Q1</t>
        </is>
      </c>
      <c r="J132" t="inlineStr">
        <is>
          <t>10-Q</t>
        </is>
      </c>
      <c r="K132" t="inlineStr">
        <is>
          <t>2025-05-15</t>
        </is>
      </c>
      <c r="L132" t="inlineStr">
        <is>
          <t>0001769628-25-000014</t>
        </is>
      </c>
    </row>
    <row r="133">
      <c r="A133" t="inlineStr">
        <is>
          <t>deferred_revenue_change</t>
        </is>
      </c>
      <c r="B133" t="inlineStr">
        <is>
          <t>IncreaseDecreaseInContractWithCustomerLiability</t>
        </is>
      </c>
      <c r="C133" t="inlineStr">
        <is>
          <t>us-gaap</t>
        </is>
      </c>
      <c r="D133" t="inlineStr">
        <is>
          <t>USD</t>
        </is>
      </c>
      <c r="E133" t="inlineStr">
        <is>
          <t>2025-01-01</t>
        </is>
      </c>
      <c r="F133" t="inlineStr">
        <is>
          <t>2025-03-31</t>
        </is>
      </c>
      <c r="G133" t="n">
        <v>-16000000</v>
      </c>
      <c r="H133" t="n">
        <v>2026</v>
      </c>
      <c r="I133" t="inlineStr">
        <is>
          <t>Q1</t>
        </is>
      </c>
      <c r="J133" t="inlineStr">
        <is>
          <t>10-Q</t>
        </is>
      </c>
      <c r="K133" t="inlineStr">
        <is>
          <t>2026-05-08</t>
        </is>
      </c>
      <c r="L133" t="inlineStr">
        <is>
          <t>0001769628-26-000222</t>
        </is>
      </c>
      <c r="M133" t="inlineStr">
        <is>
          <t>CY2025Q1</t>
        </is>
      </c>
    </row>
    <row r="134">
      <c r="A134" t="inlineStr">
        <is>
          <t>deferred_revenue_change</t>
        </is>
      </c>
      <c r="B134" t="inlineStr">
        <is>
          <t>IncreaseDecreaseInContractWithCustomerLiability</t>
        </is>
      </c>
      <c r="C134" t="inlineStr">
        <is>
          <t>us-gaap</t>
        </is>
      </c>
      <c r="D134" t="inlineStr">
        <is>
          <t>USD</t>
        </is>
      </c>
      <c r="E134" t="inlineStr">
        <is>
          <t>2025-01-01</t>
        </is>
      </c>
      <c r="F134" t="inlineStr">
        <is>
          <t>2025-06-30</t>
        </is>
      </c>
      <c r="G134" t="n">
        <v>742892000</v>
      </c>
      <c r="H134" t="n">
        <v>2025</v>
      </c>
      <c r="I134" t="inlineStr">
        <is>
          <t>Q2</t>
        </is>
      </c>
      <c r="J134" t="inlineStr">
        <is>
          <t>10-Q</t>
        </is>
      </c>
      <c r="K134" t="inlineStr">
        <is>
          <t>2025-08-13</t>
        </is>
      </c>
      <c r="L134" t="inlineStr">
        <is>
          <t>0001769628-25-000041</t>
        </is>
      </c>
    </row>
    <row r="135">
      <c r="A135" t="inlineStr">
        <is>
          <t>deferred_revenue_change</t>
        </is>
      </c>
      <c r="B135" t="inlineStr">
        <is>
          <t>IncreaseDecreaseInContractWithCustomerLiability</t>
        </is>
      </c>
      <c r="C135" t="inlineStr">
        <is>
          <t>us-gaap</t>
        </is>
      </c>
      <c r="D135" t="inlineStr">
        <is>
          <t>USD</t>
        </is>
      </c>
      <c r="E135" t="inlineStr">
        <is>
          <t>2025-01-01</t>
        </is>
      </c>
      <c r="F135" t="inlineStr">
        <is>
          <t>2025-06-30</t>
        </is>
      </c>
      <c r="G135" t="n">
        <v>743000000</v>
      </c>
      <c r="H135" t="n">
        <v>2026</v>
      </c>
      <c r="I135" t="inlineStr">
        <is>
          <t>Q2</t>
        </is>
      </c>
      <c r="J135" t="inlineStr">
        <is>
          <t>10-Q</t>
        </is>
      </c>
      <c r="K135" t="inlineStr">
        <is>
          <t>2026-08-12</t>
        </is>
      </c>
      <c r="L135" t="inlineStr">
        <is>
          <t>0001769628-26-000366</t>
        </is>
      </c>
    </row>
    <row r="136">
      <c r="A136" t="inlineStr">
        <is>
          <t>deferred_revenue_change</t>
        </is>
      </c>
      <c r="B136" t="inlineStr">
        <is>
          <t>IncreaseDecreaseInContractWithCustomerLiability</t>
        </is>
      </c>
      <c r="C136" t="inlineStr">
        <is>
          <t>us-gaap</t>
        </is>
      </c>
      <c r="D136" t="inlineStr">
        <is>
          <t>USD</t>
        </is>
      </c>
      <c r="E136" t="inlineStr">
        <is>
          <t>2025-01-01</t>
        </is>
      </c>
      <c r="F136" t="inlineStr">
        <is>
          <t>2025-09-30</t>
        </is>
      </c>
      <c r="G136" t="n">
        <v>1402164000</v>
      </c>
      <c r="H136" t="n">
        <v>2025</v>
      </c>
      <c r="I136" t="inlineStr">
        <is>
          <t>Q3</t>
        </is>
      </c>
      <c r="J136" t="inlineStr">
        <is>
          <t>10-Q</t>
        </is>
      </c>
      <c r="K136" t="inlineStr">
        <is>
          <t>2025-11-13</t>
        </is>
      </c>
      <c r="L136" t="inlineStr">
        <is>
          <t>0001769628-25-000062</t>
        </is>
      </c>
    </row>
    <row r="137">
      <c r="A137" t="inlineStr">
        <is>
          <t>deferred_revenue_change</t>
        </is>
      </c>
      <c r="B137" t="inlineStr">
        <is>
          <t>IncreaseDecreaseInContractWithCustomerLiability</t>
        </is>
      </c>
      <c r="C137" t="inlineStr">
        <is>
          <t>us-gaap</t>
        </is>
      </c>
      <c r="D137" t="inlineStr">
        <is>
          <t>USD</t>
        </is>
      </c>
      <c r="E137" t="inlineStr">
        <is>
          <t>2025-01-01</t>
        </is>
      </c>
      <c r="F137" t="inlineStr">
        <is>
          <t>2025-12-31</t>
        </is>
      </c>
      <c r="G137" t="n">
        <v>4174000000</v>
      </c>
      <c r="H137" t="n">
        <v>2025</v>
      </c>
      <c r="I137" t="inlineStr">
        <is>
          <t>FY</t>
        </is>
      </c>
      <c r="J137" t="inlineStr">
        <is>
          <t>10-K</t>
        </is>
      </c>
      <c r="K137" t="inlineStr">
        <is>
          <t>2026-03-02</t>
        </is>
      </c>
      <c r="L137" t="inlineStr">
        <is>
          <t>0001769628-26-000104</t>
        </is>
      </c>
      <c r="M137" t="inlineStr">
        <is>
          <t>CY2025</t>
        </is>
      </c>
    </row>
    <row r="138">
      <c r="A138" t="inlineStr">
        <is>
          <t>deferred_revenue_change</t>
        </is>
      </c>
      <c r="B138" t="inlineStr">
        <is>
          <t>IncreaseDecreaseInContractWithCustomerLiability</t>
        </is>
      </c>
      <c r="C138" t="inlineStr">
        <is>
          <t>us-gaap</t>
        </is>
      </c>
      <c r="D138" t="inlineStr">
        <is>
          <t>USD</t>
        </is>
      </c>
      <c r="E138" t="inlineStr">
        <is>
          <t>2026-01-01</t>
        </is>
      </c>
      <c r="F138" t="inlineStr">
        <is>
          <t>2026-03-31</t>
        </is>
      </c>
      <c r="G138" t="n">
        <v>575000000</v>
      </c>
      <c r="H138" t="n">
        <v>2026</v>
      </c>
      <c r="I138" t="inlineStr">
        <is>
          <t>Q1</t>
        </is>
      </c>
      <c r="J138" t="inlineStr">
        <is>
          <t>10-Q</t>
        </is>
      </c>
      <c r="K138" t="inlineStr">
        <is>
          <t>2026-05-08</t>
        </is>
      </c>
      <c r="L138" t="inlineStr">
        <is>
          <t>0001769628-26-000222</t>
        </is>
      </c>
      <c r="M138" t="inlineStr">
        <is>
          <t>CY2026Q1</t>
        </is>
      </c>
    </row>
    <row r="139">
      <c r="A139" t="inlineStr">
        <is>
          <t>deferred_revenue_change</t>
        </is>
      </c>
      <c r="B139" t="inlineStr">
        <is>
          <t>IncreaseDecreaseInContractWithCustomerLiability</t>
        </is>
      </c>
      <c r="C139" t="inlineStr">
        <is>
          <t>us-gaap</t>
        </is>
      </c>
      <c r="D139" t="inlineStr">
        <is>
          <t>USD</t>
        </is>
      </c>
      <c r="E139" t="inlineStr">
        <is>
          <t>2026-01-01</t>
        </is>
      </c>
      <c r="F139" t="inlineStr">
        <is>
          <t>2026-06-30</t>
        </is>
      </c>
      <c r="G139" t="n">
        <v>1365000000</v>
      </c>
      <c r="H139" t="n">
        <v>2026</v>
      </c>
      <c r="I139" t="inlineStr">
        <is>
          <t>Q2</t>
        </is>
      </c>
      <c r="J139" t="inlineStr">
        <is>
          <t>10-Q</t>
        </is>
      </c>
      <c r="K139" t="inlineStr">
        <is>
          <t>2026-08-12</t>
        </is>
      </c>
      <c r="L139" t="inlineStr">
        <is>
          <t>0001769628-26-000366</t>
        </is>
      </c>
    </row>
    <row r="140">
      <c r="A140" t="inlineStr">
        <is>
          <t>deferred_revenue_recognised</t>
        </is>
      </c>
      <c r="B140" t="inlineStr">
        <is>
          <t>ContractWithCustomerLiabilityRevenueRecognized</t>
        </is>
      </c>
      <c r="C140" t="inlineStr">
        <is>
          <t>us-gaap</t>
        </is>
      </c>
      <c r="D140" t="inlineStr">
        <is>
          <t>USD</t>
        </is>
      </c>
      <c r="E140" t="inlineStr">
        <is>
          <t>2024-01-01</t>
        </is>
      </c>
      <c r="F140" t="inlineStr">
        <is>
          <t>2024-03-31</t>
        </is>
      </c>
      <c r="G140" t="n">
        <v>64000000</v>
      </c>
      <c r="H140" t="n">
        <v>2025</v>
      </c>
      <c r="I140" t="inlineStr">
        <is>
          <t>Q1</t>
        </is>
      </c>
      <c r="J140" t="inlineStr">
        <is>
          <t>10-Q</t>
        </is>
      </c>
      <c r="K140" t="inlineStr">
        <is>
          <t>2025-05-15</t>
        </is>
      </c>
      <c r="L140" t="inlineStr">
        <is>
          <t>0001769628-25-000014</t>
        </is>
      </c>
      <c r="M140" t="inlineStr">
        <is>
          <t>CY2024Q1</t>
        </is>
      </c>
    </row>
    <row r="141">
      <c r="A141" t="inlineStr">
        <is>
          <t>deferred_revenue_recognised</t>
        </is>
      </c>
      <c r="B141" t="inlineStr">
        <is>
          <t>ContractWithCustomerLiabilityRevenueRecognized</t>
        </is>
      </c>
      <c r="C141" t="inlineStr">
        <is>
          <t>us-gaap</t>
        </is>
      </c>
      <c r="D141" t="inlineStr">
        <is>
          <t>USD</t>
        </is>
      </c>
      <c r="E141" t="inlineStr">
        <is>
          <t>2024-01-01</t>
        </is>
      </c>
      <c r="F141" t="inlineStr">
        <is>
          <t>2024-06-30</t>
        </is>
      </c>
      <c r="G141" t="n">
        <v>128000000</v>
      </c>
      <c r="H141" t="n">
        <v>2025</v>
      </c>
      <c r="I141" t="inlineStr">
        <is>
          <t>Q2</t>
        </is>
      </c>
      <c r="J141" t="inlineStr">
        <is>
          <t>10-Q</t>
        </is>
      </c>
      <c r="K141" t="inlineStr">
        <is>
          <t>2025-08-13</t>
        </is>
      </c>
      <c r="L141" t="inlineStr">
        <is>
          <t>0001769628-25-000041</t>
        </is>
      </c>
    </row>
    <row r="142">
      <c r="A142" t="inlineStr">
        <is>
          <t>deferred_revenue_recognised</t>
        </is>
      </c>
      <c r="B142" t="inlineStr">
        <is>
          <t>ContractWithCustomerLiabilityRevenueRecognized</t>
        </is>
      </c>
      <c r="C142" t="inlineStr">
        <is>
          <t>us-gaap</t>
        </is>
      </c>
      <c r="D142" t="inlineStr">
        <is>
          <t>USD</t>
        </is>
      </c>
      <c r="E142" t="inlineStr">
        <is>
          <t>2024-01-01</t>
        </is>
      </c>
      <c r="F142" t="inlineStr">
        <is>
          <t>2024-09-30</t>
        </is>
      </c>
      <c r="G142" t="n">
        <v>190000000</v>
      </c>
      <c r="H142" t="n">
        <v>2025</v>
      </c>
      <c r="I142" t="inlineStr">
        <is>
          <t>Q3</t>
        </is>
      </c>
      <c r="J142" t="inlineStr">
        <is>
          <t>10-Q</t>
        </is>
      </c>
      <c r="K142" t="inlineStr">
        <is>
          <t>2025-11-13</t>
        </is>
      </c>
      <c r="L142" t="inlineStr">
        <is>
          <t>0001769628-25-000062</t>
        </is>
      </c>
    </row>
    <row r="143">
      <c r="A143" t="inlineStr">
        <is>
          <t>deferred_revenue_recognised</t>
        </is>
      </c>
      <c r="B143" t="inlineStr">
        <is>
          <t>ContractWithCustomerLiabilityRevenueRecognized</t>
        </is>
      </c>
      <c r="C143" t="inlineStr">
        <is>
          <t>us-gaap</t>
        </is>
      </c>
      <c r="D143" t="inlineStr">
        <is>
          <t>USD</t>
        </is>
      </c>
      <c r="E143" t="inlineStr">
        <is>
          <t>2024-01-01</t>
        </is>
      </c>
      <c r="F143" t="inlineStr">
        <is>
          <t>2024-12-31</t>
        </is>
      </c>
      <c r="G143" t="n">
        <v>225000000</v>
      </c>
      <c r="H143" t="n">
        <v>2025</v>
      </c>
      <c r="I143" t="inlineStr">
        <is>
          <t>FY</t>
        </is>
      </c>
      <c r="J143" t="inlineStr">
        <is>
          <t>10-K</t>
        </is>
      </c>
      <c r="K143" t="inlineStr">
        <is>
          <t>2026-03-02</t>
        </is>
      </c>
      <c r="L143" t="inlineStr">
        <is>
          <t>0001769628-26-000104</t>
        </is>
      </c>
      <c r="M143" t="inlineStr">
        <is>
          <t>CY2024</t>
        </is>
      </c>
    </row>
    <row r="144">
      <c r="A144" t="inlineStr">
        <is>
          <t>deferred_revenue_recognised</t>
        </is>
      </c>
      <c r="B144" t="inlineStr">
        <is>
          <t>ContractWithCustomerLiabilityRevenueRecognized</t>
        </is>
      </c>
      <c r="C144" t="inlineStr">
        <is>
          <t>us-gaap</t>
        </is>
      </c>
      <c r="D144" t="inlineStr">
        <is>
          <t>USD</t>
        </is>
      </c>
      <c r="E144" t="inlineStr">
        <is>
          <t>2025-01-01</t>
        </is>
      </c>
      <c r="F144" t="inlineStr">
        <is>
          <t>2025-03-31</t>
        </is>
      </c>
      <c r="G144" t="n">
        <v>587000000</v>
      </c>
      <c r="H144" t="n">
        <v>2025</v>
      </c>
      <c r="I144" t="inlineStr">
        <is>
          <t>Q1</t>
        </is>
      </c>
      <c r="J144" t="inlineStr">
        <is>
          <t>10-Q</t>
        </is>
      </c>
      <c r="K144" t="inlineStr">
        <is>
          <t>2025-05-15</t>
        </is>
      </c>
      <c r="L144" t="inlineStr">
        <is>
          <t>0001769628-25-000014</t>
        </is>
      </c>
      <c r="M144" t="inlineStr">
        <is>
          <t>CY2025Q1</t>
        </is>
      </c>
    </row>
    <row r="145">
      <c r="A145" t="inlineStr">
        <is>
          <t>deferred_revenue_recognised</t>
        </is>
      </c>
      <c r="B145" t="inlineStr">
        <is>
          <t>ContractWithCustomerLiabilityRevenueRecognized</t>
        </is>
      </c>
      <c r="C145" t="inlineStr">
        <is>
          <t>us-gaap</t>
        </is>
      </c>
      <c r="D145" t="inlineStr">
        <is>
          <t>USD</t>
        </is>
      </c>
      <c r="E145" t="inlineStr">
        <is>
          <t>2025-01-01</t>
        </is>
      </c>
      <c r="F145" t="inlineStr">
        <is>
          <t>2025-06-30</t>
        </is>
      </c>
      <c r="G145" t="n">
        <v>603000000</v>
      </c>
      <c r="H145" t="n">
        <v>2025</v>
      </c>
      <c r="I145" t="inlineStr">
        <is>
          <t>Q2</t>
        </is>
      </c>
      <c r="J145" t="inlineStr">
        <is>
          <t>10-Q</t>
        </is>
      </c>
      <c r="K145" t="inlineStr">
        <is>
          <t>2025-08-13</t>
        </is>
      </c>
      <c r="L145" t="inlineStr">
        <is>
          <t>0001769628-25-000041</t>
        </is>
      </c>
    </row>
    <row r="146">
      <c r="A146" t="inlineStr">
        <is>
          <t>deferred_revenue_recognised</t>
        </is>
      </c>
      <c r="B146" t="inlineStr">
        <is>
          <t>ContractWithCustomerLiabilityRevenueRecognized</t>
        </is>
      </c>
      <c r="C146" t="inlineStr">
        <is>
          <t>us-gaap</t>
        </is>
      </c>
      <c r="D146" t="inlineStr">
        <is>
          <t>USD</t>
        </is>
      </c>
      <c r="E146" t="inlineStr">
        <is>
          <t>2025-01-01</t>
        </is>
      </c>
      <c r="F146" t="inlineStr">
        <is>
          <t>2025-06-30</t>
        </is>
      </c>
      <c r="G146" t="n">
        <v>603000000</v>
      </c>
      <c r="H146" t="n">
        <v>2026</v>
      </c>
      <c r="I146" t="inlineStr">
        <is>
          <t>Q2</t>
        </is>
      </c>
      <c r="J146" t="inlineStr">
        <is>
          <t>10-Q</t>
        </is>
      </c>
      <c r="K146" t="inlineStr">
        <is>
          <t>2026-08-12</t>
        </is>
      </c>
      <c r="L146" t="inlineStr">
        <is>
          <t>0001769628-26-000366</t>
        </is>
      </c>
    </row>
    <row r="147">
      <c r="A147" t="inlineStr">
        <is>
          <t>deferred_revenue_recognised</t>
        </is>
      </c>
      <c r="B147" t="inlineStr">
        <is>
          <t>ContractWithCustomerLiabilityRevenueRecognized</t>
        </is>
      </c>
      <c r="C147" t="inlineStr">
        <is>
          <t>us-gaap</t>
        </is>
      </c>
      <c r="D147" t="inlineStr">
        <is>
          <t>USD</t>
        </is>
      </c>
      <c r="E147" t="inlineStr">
        <is>
          <t>2025-01-01</t>
        </is>
      </c>
      <c r="F147" t="inlineStr">
        <is>
          <t>2025-09-30</t>
        </is>
      </c>
      <c r="G147" t="n">
        <v>659000000</v>
      </c>
      <c r="H147" t="n">
        <v>2025</v>
      </c>
      <c r="I147" t="inlineStr">
        <is>
          <t>Q3</t>
        </is>
      </c>
      <c r="J147" t="inlineStr">
        <is>
          <t>10-Q</t>
        </is>
      </c>
      <c r="K147" t="inlineStr">
        <is>
          <t>2025-11-13</t>
        </is>
      </c>
      <c r="L147" t="inlineStr">
        <is>
          <t>0001769628-25-000062</t>
        </is>
      </c>
    </row>
    <row r="148">
      <c r="A148" t="inlineStr">
        <is>
          <t>deferred_revenue_recognised</t>
        </is>
      </c>
      <c r="B148" t="inlineStr">
        <is>
          <t>ContractWithCustomerLiabilityRevenueRecognized</t>
        </is>
      </c>
      <c r="C148" t="inlineStr">
        <is>
          <t>us-gaap</t>
        </is>
      </c>
      <c r="D148" t="inlineStr">
        <is>
          <t>USD</t>
        </is>
      </c>
      <c r="E148" t="inlineStr">
        <is>
          <t>2025-01-01</t>
        </is>
      </c>
      <c r="F148" t="inlineStr">
        <is>
          <t>2025-12-31</t>
        </is>
      </c>
      <c r="G148" t="n">
        <v>780000000</v>
      </c>
      <c r="H148" t="n">
        <v>2025</v>
      </c>
      <c r="I148" t="inlineStr">
        <is>
          <t>FY</t>
        </is>
      </c>
      <c r="J148" t="inlineStr">
        <is>
          <t>10-K</t>
        </is>
      </c>
      <c r="K148" t="inlineStr">
        <is>
          <t>2026-03-02</t>
        </is>
      </c>
      <c r="L148" t="inlineStr">
        <is>
          <t>0001769628-26-000104</t>
        </is>
      </c>
      <c r="M148" t="inlineStr">
        <is>
          <t>CY2025</t>
        </is>
      </c>
    </row>
    <row r="149">
      <c r="A149" t="inlineStr">
        <is>
          <t>deferred_revenue_recognised</t>
        </is>
      </c>
      <c r="B149" t="inlineStr">
        <is>
          <t>ContractWithCustomerLiabilityRevenueRecognized</t>
        </is>
      </c>
      <c r="C149" t="inlineStr">
        <is>
          <t>us-gaap</t>
        </is>
      </c>
      <c r="D149" t="inlineStr">
        <is>
          <t>USD</t>
        </is>
      </c>
      <c r="E149" t="inlineStr">
        <is>
          <t>2026-01-01</t>
        </is>
      </c>
      <c r="F149" t="inlineStr">
        <is>
          <t>2026-03-31</t>
        </is>
      </c>
      <c r="G149" t="n">
        <v>304000000</v>
      </c>
      <c r="H149" t="n">
        <v>2026</v>
      </c>
      <c r="I149" t="inlineStr">
        <is>
          <t>Q1</t>
        </is>
      </c>
      <c r="J149" t="inlineStr">
        <is>
          <t>10-Q</t>
        </is>
      </c>
      <c r="K149" t="inlineStr">
        <is>
          <t>2026-05-08</t>
        </is>
      </c>
      <c r="L149" t="inlineStr">
        <is>
          <t>0001769628-26-000222</t>
        </is>
      </c>
      <c r="M149" t="inlineStr">
        <is>
          <t>CY2026Q1</t>
        </is>
      </c>
    </row>
    <row r="150">
      <c r="A150" t="inlineStr">
        <is>
          <t>deferred_revenue_recognised</t>
        </is>
      </c>
      <c r="B150" t="inlineStr">
        <is>
          <t>ContractWithCustomerLiabilityRevenueRecognized</t>
        </is>
      </c>
      <c r="C150" t="inlineStr">
        <is>
          <t>us-gaap</t>
        </is>
      </c>
      <c r="D150" t="inlineStr">
        <is>
          <t>USD</t>
        </is>
      </c>
      <c r="E150" t="inlineStr">
        <is>
          <t>2026-01-01</t>
        </is>
      </c>
      <c r="F150" t="inlineStr">
        <is>
          <t>2026-06-30</t>
        </is>
      </c>
      <c r="G150" t="n">
        <v>554000000</v>
      </c>
      <c r="H150" t="n">
        <v>2026</v>
      </c>
      <c r="I150" t="inlineStr">
        <is>
          <t>Q2</t>
        </is>
      </c>
      <c r="J150" t="inlineStr">
        <is>
          <t>10-Q</t>
        </is>
      </c>
      <c r="K150" t="inlineStr">
        <is>
          <t>2026-08-12</t>
        </is>
      </c>
      <c r="L150" t="inlineStr">
        <is>
          <t>0001769628-26-000366</t>
        </is>
      </c>
    </row>
    <row r="151">
      <c r="A151" t="inlineStr">
        <is>
          <t>interest_expense</t>
        </is>
      </c>
      <c r="B151" t="inlineStr">
        <is>
          <t>InterestExpenseDebt</t>
        </is>
      </c>
      <c r="C151" t="inlineStr">
        <is>
          <t>us-gaap</t>
        </is>
      </c>
      <c r="D151" t="inlineStr">
        <is>
          <t>USD</t>
        </is>
      </c>
      <c r="E151" t="inlineStr">
        <is>
          <t>2023-01-01</t>
        </is>
      </c>
      <c r="F151" t="inlineStr">
        <is>
          <t>2023-12-31</t>
        </is>
      </c>
      <c r="G151" t="n">
        <v>27000000</v>
      </c>
      <c r="H151" t="n">
        <v>2025</v>
      </c>
      <c r="I151" t="inlineStr">
        <is>
          <t>FY</t>
        </is>
      </c>
      <c r="J151" t="inlineStr">
        <is>
          <t>10-K</t>
        </is>
      </c>
      <c r="K151" t="inlineStr">
        <is>
          <t>2026-03-02</t>
        </is>
      </c>
      <c r="L151" t="inlineStr">
        <is>
          <t>0001769628-26-000104</t>
        </is>
      </c>
      <c r="M151" t="inlineStr">
        <is>
          <t>CY2023</t>
        </is>
      </c>
    </row>
    <row r="152">
      <c r="A152" t="inlineStr">
        <is>
          <t>interest_expense</t>
        </is>
      </c>
      <c r="B152" t="inlineStr">
        <is>
          <t>InterestExpenseDebt</t>
        </is>
      </c>
      <c r="C152" t="inlineStr">
        <is>
          <t>us-gaap</t>
        </is>
      </c>
      <c r="D152" t="inlineStr">
        <is>
          <t>USD</t>
        </is>
      </c>
      <c r="E152" t="inlineStr">
        <is>
          <t>2024-01-01</t>
        </is>
      </c>
      <c r="F152" t="inlineStr">
        <is>
          <t>2024-03-31</t>
        </is>
      </c>
      <c r="G152" t="n">
        <v>40503000</v>
      </c>
      <c r="H152" t="n">
        <v>2025</v>
      </c>
      <c r="I152" t="inlineStr">
        <is>
          <t>Q1</t>
        </is>
      </c>
      <c r="J152" t="inlineStr">
        <is>
          <t>10-Q</t>
        </is>
      </c>
      <c r="K152" t="inlineStr">
        <is>
          <t>2025-05-15</t>
        </is>
      </c>
      <c r="L152" t="inlineStr">
        <is>
          <t>0001769628-25-000014</t>
        </is>
      </c>
      <c r="M152" t="inlineStr">
        <is>
          <t>CY2024Q1</t>
        </is>
      </c>
    </row>
    <row r="153">
      <c r="A153" t="inlineStr">
        <is>
          <t>interest_expense</t>
        </is>
      </c>
      <c r="B153" t="inlineStr">
        <is>
          <t>InterestExpenseDebt</t>
        </is>
      </c>
      <c r="C153" t="inlineStr">
        <is>
          <t>us-gaap</t>
        </is>
      </c>
      <c r="D153" t="inlineStr">
        <is>
          <t>USD</t>
        </is>
      </c>
      <c r="E153" t="inlineStr">
        <is>
          <t>2024-01-01</t>
        </is>
      </c>
      <c r="F153" t="inlineStr">
        <is>
          <t>2024-06-30</t>
        </is>
      </c>
      <c r="G153" t="n">
        <v>107600000</v>
      </c>
      <c r="H153" t="n">
        <v>2025</v>
      </c>
      <c r="I153" t="inlineStr">
        <is>
          <t>Q2</t>
        </is>
      </c>
      <c r="J153" t="inlineStr">
        <is>
          <t>10-Q</t>
        </is>
      </c>
      <c r="K153" t="inlineStr">
        <is>
          <t>2025-08-13</t>
        </is>
      </c>
      <c r="L153" t="inlineStr">
        <is>
          <t>0001769628-25-000041</t>
        </is>
      </c>
    </row>
    <row r="154">
      <c r="A154" t="inlineStr">
        <is>
          <t>interest_expense</t>
        </is>
      </c>
      <c r="B154" t="inlineStr">
        <is>
          <t>InterestExpenseDebt</t>
        </is>
      </c>
      <c r="C154" t="inlineStr">
        <is>
          <t>us-gaap</t>
        </is>
      </c>
      <c r="D154" t="inlineStr">
        <is>
          <t>USD</t>
        </is>
      </c>
      <c r="E154" t="inlineStr">
        <is>
          <t>2024-04-01</t>
        </is>
      </c>
      <c r="F154" t="inlineStr">
        <is>
          <t>2024-06-30</t>
        </is>
      </c>
      <c r="G154" t="n">
        <v>67097000</v>
      </c>
      <c r="H154" t="n">
        <v>2025</v>
      </c>
      <c r="I154" t="inlineStr">
        <is>
          <t>Q2</t>
        </is>
      </c>
      <c r="J154" t="inlineStr">
        <is>
          <t>10-Q</t>
        </is>
      </c>
      <c r="K154" t="inlineStr">
        <is>
          <t>2025-08-13</t>
        </is>
      </c>
      <c r="L154" t="inlineStr">
        <is>
          <t>0001769628-25-000041</t>
        </is>
      </c>
      <c r="M154" t="inlineStr">
        <is>
          <t>CY2024Q2</t>
        </is>
      </c>
    </row>
    <row r="155">
      <c r="A155" t="inlineStr">
        <is>
          <t>interest_expense</t>
        </is>
      </c>
      <c r="B155" t="inlineStr">
        <is>
          <t>InterestExpenseDebt</t>
        </is>
      </c>
      <c r="C155" t="inlineStr">
        <is>
          <t>us-gaap</t>
        </is>
      </c>
      <c r="D155" t="inlineStr">
        <is>
          <t>USD</t>
        </is>
      </c>
      <c r="E155" t="inlineStr">
        <is>
          <t>2024-01-01</t>
        </is>
      </c>
      <c r="F155" t="inlineStr">
        <is>
          <t>2024-09-30</t>
        </is>
      </c>
      <c r="G155" t="n">
        <v>209928000</v>
      </c>
      <c r="H155" t="n">
        <v>2025</v>
      </c>
      <c r="I155" t="inlineStr">
        <is>
          <t>Q3</t>
        </is>
      </c>
      <c r="J155" t="inlineStr">
        <is>
          <t>10-Q</t>
        </is>
      </c>
      <c r="K155" t="inlineStr">
        <is>
          <t>2025-11-13</t>
        </is>
      </c>
      <c r="L155" t="inlineStr">
        <is>
          <t>0001769628-25-000062</t>
        </is>
      </c>
    </row>
    <row r="156">
      <c r="A156" t="inlineStr">
        <is>
          <t>interest_expense</t>
        </is>
      </c>
      <c r="B156" t="inlineStr">
        <is>
          <t>InterestExpenseDebt</t>
        </is>
      </c>
      <c r="C156" t="inlineStr">
        <is>
          <t>us-gaap</t>
        </is>
      </c>
      <c r="D156" t="inlineStr">
        <is>
          <t>USD</t>
        </is>
      </c>
      <c r="E156" t="inlineStr">
        <is>
          <t>2024-07-01</t>
        </is>
      </c>
      <c r="F156" t="inlineStr">
        <is>
          <t>2024-09-30</t>
        </is>
      </c>
      <c r="G156" t="n">
        <v>102328000</v>
      </c>
      <c r="H156" t="n">
        <v>2025</v>
      </c>
      <c r="I156" t="inlineStr">
        <is>
          <t>Q3</t>
        </is>
      </c>
      <c r="J156" t="inlineStr">
        <is>
          <t>10-Q</t>
        </is>
      </c>
      <c r="K156" t="inlineStr">
        <is>
          <t>2025-11-13</t>
        </is>
      </c>
      <c r="L156" t="inlineStr">
        <is>
          <t>0001769628-25-000062</t>
        </is>
      </c>
      <c r="M156" t="inlineStr">
        <is>
          <t>CY2024Q3</t>
        </is>
      </c>
    </row>
    <row r="157">
      <c r="A157" t="inlineStr">
        <is>
          <t>interest_expense</t>
        </is>
      </c>
      <c r="B157" t="inlineStr">
        <is>
          <t>InterestExpenseDebt</t>
        </is>
      </c>
      <c r="C157" t="inlineStr">
        <is>
          <t>us-gaap</t>
        </is>
      </c>
      <c r="D157" t="inlineStr">
        <is>
          <t>USD</t>
        </is>
      </c>
      <c r="E157" t="inlineStr">
        <is>
          <t>2024-01-01</t>
        </is>
      </c>
      <c r="F157" t="inlineStr">
        <is>
          <t>2024-12-31</t>
        </is>
      </c>
      <c r="G157" t="n">
        <v>349000000</v>
      </c>
      <c r="H157" t="n">
        <v>2025</v>
      </c>
      <c r="I157" t="inlineStr">
        <is>
          <t>FY</t>
        </is>
      </c>
      <c r="J157" t="inlineStr">
        <is>
          <t>10-K</t>
        </is>
      </c>
      <c r="K157" t="inlineStr">
        <is>
          <t>2026-03-02</t>
        </is>
      </c>
      <c r="L157" t="inlineStr">
        <is>
          <t>0001769628-26-000104</t>
        </is>
      </c>
      <c r="M157" t="inlineStr">
        <is>
          <t>CY2024</t>
        </is>
      </c>
    </row>
    <row r="158">
      <c r="A158" t="inlineStr">
        <is>
          <t>interest_expense</t>
        </is>
      </c>
      <c r="B158" t="inlineStr">
        <is>
          <t>InterestExpenseDebt</t>
        </is>
      </c>
      <c r="C158" t="inlineStr">
        <is>
          <t>us-gaap</t>
        </is>
      </c>
      <c r="D158" t="inlineStr">
        <is>
          <t>USD</t>
        </is>
      </c>
      <c r="E158" t="inlineStr">
        <is>
          <t>2025-01-01</t>
        </is>
      </c>
      <c r="F158" t="inlineStr">
        <is>
          <t>2025-03-31</t>
        </is>
      </c>
      <c r="G158" t="n">
        <v>257371000</v>
      </c>
      <c r="H158" t="n">
        <v>2025</v>
      </c>
      <c r="I158" t="inlineStr">
        <is>
          <t>Q1</t>
        </is>
      </c>
      <c r="J158" t="inlineStr">
        <is>
          <t>10-Q</t>
        </is>
      </c>
      <c r="K158" t="inlineStr">
        <is>
          <t>2025-05-15</t>
        </is>
      </c>
      <c r="L158" t="inlineStr">
        <is>
          <t>0001769628-25-000014</t>
        </is>
      </c>
    </row>
    <row r="159">
      <c r="A159" t="inlineStr">
        <is>
          <t>interest_expense</t>
        </is>
      </c>
      <c r="B159" t="inlineStr">
        <is>
          <t>InterestExpenseDebt</t>
        </is>
      </c>
      <c r="C159" t="inlineStr">
        <is>
          <t>us-gaap</t>
        </is>
      </c>
      <c r="D159" t="inlineStr">
        <is>
          <t>USD</t>
        </is>
      </c>
      <c r="E159" t="inlineStr">
        <is>
          <t>2025-01-01</t>
        </is>
      </c>
      <c r="F159" t="inlineStr">
        <is>
          <t>2025-03-31</t>
        </is>
      </c>
      <c r="G159" t="n">
        <v>257000000</v>
      </c>
      <c r="H159" t="n">
        <v>2026</v>
      </c>
      <c r="I159" t="inlineStr">
        <is>
          <t>Q1</t>
        </is>
      </c>
      <c r="J159" t="inlineStr">
        <is>
          <t>10-Q</t>
        </is>
      </c>
      <c r="K159" t="inlineStr">
        <is>
          <t>2026-05-08</t>
        </is>
      </c>
      <c r="L159" t="inlineStr">
        <is>
          <t>0001769628-26-000222</t>
        </is>
      </c>
      <c r="M159" t="inlineStr">
        <is>
          <t>CY2025Q1</t>
        </is>
      </c>
    </row>
    <row r="160">
      <c r="A160" t="inlineStr">
        <is>
          <t>interest_expense</t>
        </is>
      </c>
      <c r="B160" t="inlineStr">
        <is>
          <t>InterestExpenseDebt</t>
        </is>
      </c>
      <c r="C160" t="inlineStr">
        <is>
          <t>us-gaap</t>
        </is>
      </c>
      <c r="D160" t="inlineStr">
        <is>
          <t>USD</t>
        </is>
      </c>
      <c r="E160" t="inlineStr">
        <is>
          <t>2025-01-01</t>
        </is>
      </c>
      <c r="F160" t="inlineStr">
        <is>
          <t>2025-06-30</t>
        </is>
      </c>
      <c r="G160" t="n">
        <v>513533000</v>
      </c>
      <c r="H160" t="n">
        <v>2025</v>
      </c>
      <c r="I160" t="inlineStr">
        <is>
          <t>Q2</t>
        </is>
      </c>
      <c r="J160" t="inlineStr">
        <is>
          <t>10-Q</t>
        </is>
      </c>
      <c r="K160" t="inlineStr">
        <is>
          <t>2025-08-13</t>
        </is>
      </c>
      <c r="L160" t="inlineStr">
        <is>
          <t>0001769628-25-000041</t>
        </is>
      </c>
    </row>
    <row r="161">
      <c r="A161" t="inlineStr">
        <is>
          <t>interest_expense</t>
        </is>
      </c>
      <c r="B161" t="inlineStr">
        <is>
          <t>InterestExpenseDebt</t>
        </is>
      </c>
      <c r="C161" t="inlineStr">
        <is>
          <t>us-gaap</t>
        </is>
      </c>
      <c r="D161" t="inlineStr">
        <is>
          <t>USD</t>
        </is>
      </c>
      <c r="E161" t="inlineStr">
        <is>
          <t>2025-04-01</t>
        </is>
      </c>
      <c r="F161" t="inlineStr">
        <is>
          <t>2025-06-30</t>
        </is>
      </c>
      <c r="G161" t="n">
        <v>256162000</v>
      </c>
      <c r="H161" t="n">
        <v>2025</v>
      </c>
      <c r="I161" t="inlineStr">
        <is>
          <t>Q2</t>
        </is>
      </c>
      <c r="J161" t="inlineStr">
        <is>
          <t>10-Q</t>
        </is>
      </c>
      <c r="K161" t="inlineStr">
        <is>
          <t>2025-08-13</t>
        </is>
      </c>
      <c r="L161" t="inlineStr">
        <is>
          <t>0001769628-25-000041</t>
        </is>
      </c>
    </row>
    <row r="162">
      <c r="A162" t="inlineStr">
        <is>
          <t>interest_expense</t>
        </is>
      </c>
      <c r="B162" t="inlineStr">
        <is>
          <t>InterestExpenseDebt</t>
        </is>
      </c>
      <c r="C162" t="inlineStr">
        <is>
          <t>us-gaap</t>
        </is>
      </c>
      <c r="D162" t="inlineStr">
        <is>
          <t>USD</t>
        </is>
      </c>
      <c r="E162" t="inlineStr">
        <is>
          <t>2025-01-01</t>
        </is>
      </c>
      <c r="F162" t="inlineStr">
        <is>
          <t>2025-06-30</t>
        </is>
      </c>
      <c r="G162" t="n">
        <v>514000000</v>
      </c>
      <c r="H162" t="n">
        <v>2026</v>
      </c>
      <c r="I162" t="inlineStr">
        <is>
          <t>Q2</t>
        </is>
      </c>
      <c r="J162" t="inlineStr">
        <is>
          <t>10-Q</t>
        </is>
      </c>
      <c r="K162" t="inlineStr">
        <is>
          <t>2026-08-12</t>
        </is>
      </c>
      <c r="L162" t="inlineStr">
        <is>
          <t>0001769628-26-000366</t>
        </is>
      </c>
    </row>
    <row r="163">
      <c r="A163" t="inlineStr">
        <is>
          <t>interest_expense</t>
        </is>
      </c>
      <c r="B163" t="inlineStr">
        <is>
          <t>InterestExpenseDebt</t>
        </is>
      </c>
      <c r="C163" t="inlineStr">
        <is>
          <t>us-gaap</t>
        </is>
      </c>
      <c r="D163" t="inlineStr">
        <is>
          <t>USD</t>
        </is>
      </c>
      <c r="E163" t="inlineStr">
        <is>
          <t>2025-04-01</t>
        </is>
      </c>
      <c r="F163" t="inlineStr">
        <is>
          <t>2025-06-30</t>
        </is>
      </c>
      <c r="G163" t="n">
        <v>256000000</v>
      </c>
      <c r="H163" t="n">
        <v>2026</v>
      </c>
      <c r="I163" t="inlineStr">
        <is>
          <t>Q2</t>
        </is>
      </c>
      <c r="J163" t="inlineStr">
        <is>
          <t>10-Q</t>
        </is>
      </c>
      <c r="K163" t="inlineStr">
        <is>
          <t>2026-08-12</t>
        </is>
      </c>
      <c r="L163" t="inlineStr">
        <is>
          <t>0001769628-26-000366</t>
        </is>
      </c>
      <c r="M163" t="inlineStr">
        <is>
          <t>CY2025Q2</t>
        </is>
      </c>
    </row>
    <row r="164">
      <c r="A164" t="inlineStr">
        <is>
          <t>interest_expense</t>
        </is>
      </c>
      <c r="B164" t="inlineStr">
        <is>
          <t>InterestExpenseDebt</t>
        </is>
      </c>
      <c r="C164" t="inlineStr">
        <is>
          <t>us-gaap</t>
        </is>
      </c>
      <c r="D164" t="inlineStr">
        <is>
          <t>USD</t>
        </is>
      </c>
      <c r="E164" t="inlineStr">
        <is>
          <t>2025-01-01</t>
        </is>
      </c>
      <c r="F164" t="inlineStr">
        <is>
          <t>2025-09-30</t>
        </is>
      </c>
      <c r="G164" t="n">
        <v>796949000</v>
      </c>
      <c r="H164" t="n">
        <v>2025</v>
      </c>
      <c r="I164" t="inlineStr">
        <is>
          <t>Q3</t>
        </is>
      </c>
      <c r="J164" t="inlineStr">
        <is>
          <t>10-Q</t>
        </is>
      </c>
      <c r="K164" t="inlineStr">
        <is>
          <t>2025-11-13</t>
        </is>
      </c>
      <c r="L164" t="inlineStr">
        <is>
          <t>0001769628-25-000062</t>
        </is>
      </c>
    </row>
    <row r="165">
      <c r="A165" t="inlineStr">
        <is>
          <t>interest_expense</t>
        </is>
      </c>
      <c r="B165" t="inlineStr">
        <is>
          <t>InterestExpenseDebt</t>
        </is>
      </c>
      <c r="C165" t="inlineStr">
        <is>
          <t>us-gaap</t>
        </is>
      </c>
      <c r="D165" t="inlineStr">
        <is>
          <t>USD</t>
        </is>
      </c>
      <c r="E165" t="inlineStr">
        <is>
          <t>2025-07-01</t>
        </is>
      </c>
      <c r="F165" t="inlineStr">
        <is>
          <t>2025-09-30</t>
        </is>
      </c>
      <c r="G165" t="n">
        <v>283416000</v>
      </c>
      <c r="H165" t="n">
        <v>2025</v>
      </c>
      <c r="I165" t="inlineStr">
        <is>
          <t>Q3</t>
        </is>
      </c>
      <c r="J165" t="inlineStr">
        <is>
          <t>10-Q</t>
        </is>
      </c>
      <c r="K165" t="inlineStr">
        <is>
          <t>2025-11-13</t>
        </is>
      </c>
      <c r="L165" t="inlineStr">
        <is>
          <t>0001769628-25-000062</t>
        </is>
      </c>
      <c r="M165" t="inlineStr">
        <is>
          <t>CY2025Q3</t>
        </is>
      </c>
    </row>
    <row r="166">
      <c r="A166" t="inlineStr">
        <is>
          <t>interest_expense</t>
        </is>
      </c>
      <c r="B166" t="inlineStr">
        <is>
          <t>InterestExpenseDebt</t>
        </is>
      </c>
      <c r="C166" t="inlineStr">
        <is>
          <t>us-gaap</t>
        </is>
      </c>
      <c r="D166" t="inlineStr">
        <is>
          <t>USD</t>
        </is>
      </c>
      <c r="E166" t="inlineStr">
        <is>
          <t>2025-01-01</t>
        </is>
      </c>
      <c r="F166" t="inlineStr">
        <is>
          <t>2025-12-31</t>
        </is>
      </c>
      <c r="G166" t="n">
        <v>1148000000</v>
      </c>
      <c r="H166" t="n">
        <v>2025</v>
      </c>
      <c r="I166" t="inlineStr">
        <is>
          <t>FY</t>
        </is>
      </c>
      <c r="J166" t="inlineStr">
        <is>
          <t>10-K</t>
        </is>
      </c>
      <c r="K166" t="inlineStr">
        <is>
          <t>2026-03-02</t>
        </is>
      </c>
      <c r="L166" t="inlineStr">
        <is>
          <t>0001769628-26-000104</t>
        </is>
      </c>
      <c r="M166" t="inlineStr">
        <is>
          <t>CY2025</t>
        </is>
      </c>
    </row>
    <row r="167">
      <c r="A167" t="inlineStr">
        <is>
          <t>interest_expense</t>
        </is>
      </c>
      <c r="B167" t="inlineStr">
        <is>
          <t>InterestExpenseDebt</t>
        </is>
      </c>
      <c r="C167" t="inlineStr">
        <is>
          <t>us-gaap</t>
        </is>
      </c>
      <c r="D167" t="inlineStr">
        <is>
          <t>USD</t>
        </is>
      </c>
      <c r="E167" t="inlineStr">
        <is>
          <t>2026-01-01</t>
        </is>
      </c>
      <c r="F167" t="inlineStr">
        <is>
          <t>2026-03-31</t>
        </is>
      </c>
      <c r="G167" t="n">
        <v>427000000</v>
      </c>
      <c r="H167" t="n">
        <v>2026</v>
      </c>
      <c r="I167" t="inlineStr">
        <is>
          <t>Q1</t>
        </is>
      </c>
      <c r="J167" t="inlineStr">
        <is>
          <t>10-Q</t>
        </is>
      </c>
      <c r="K167" t="inlineStr">
        <is>
          <t>2026-05-08</t>
        </is>
      </c>
      <c r="L167" t="inlineStr">
        <is>
          <t>0001769628-26-000222</t>
        </is>
      </c>
      <c r="M167" t="inlineStr">
        <is>
          <t>CY2026Q1</t>
        </is>
      </c>
    </row>
    <row r="168">
      <c r="A168" t="inlineStr">
        <is>
          <t>interest_expense</t>
        </is>
      </c>
      <c r="B168" t="inlineStr">
        <is>
          <t>InterestExpenseDebt</t>
        </is>
      </c>
      <c r="C168" t="inlineStr">
        <is>
          <t>us-gaap</t>
        </is>
      </c>
      <c r="D168" t="inlineStr">
        <is>
          <t>USD</t>
        </is>
      </c>
      <c r="E168" t="inlineStr">
        <is>
          <t>2026-01-01</t>
        </is>
      </c>
      <c r="F168" t="inlineStr">
        <is>
          <t>2026-06-30</t>
        </is>
      </c>
      <c r="G168" t="n">
        <v>985000000</v>
      </c>
      <c r="H168" t="n">
        <v>2026</v>
      </c>
      <c r="I168" t="inlineStr">
        <is>
          <t>Q2</t>
        </is>
      </c>
      <c r="J168" t="inlineStr">
        <is>
          <t>10-Q</t>
        </is>
      </c>
      <c r="K168" t="inlineStr">
        <is>
          <t>2026-08-12</t>
        </is>
      </c>
      <c r="L168" t="inlineStr">
        <is>
          <t>0001769628-26-000366</t>
        </is>
      </c>
    </row>
    <row r="169">
      <c r="A169" t="inlineStr">
        <is>
          <t>interest_expense</t>
        </is>
      </c>
      <c r="B169" t="inlineStr">
        <is>
          <t>InterestExpenseDebt</t>
        </is>
      </c>
      <c r="C169" t="inlineStr">
        <is>
          <t>us-gaap</t>
        </is>
      </c>
      <c r="D169" t="inlineStr">
        <is>
          <t>USD</t>
        </is>
      </c>
      <c r="E169" t="inlineStr">
        <is>
          <t>2026-04-01</t>
        </is>
      </c>
      <c r="F169" t="inlineStr">
        <is>
          <t>2026-06-30</t>
        </is>
      </c>
      <c r="G169" t="n">
        <v>558000000</v>
      </c>
      <c r="H169" t="n">
        <v>2026</v>
      </c>
      <c r="I169" t="inlineStr">
        <is>
          <t>Q2</t>
        </is>
      </c>
      <c r="J169" t="inlineStr">
        <is>
          <t>10-Q</t>
        </is>
      </c>
      <c r="K169" t="inlineStr">
        <is>
          <t>2026-08-12</t>
        </is>
      </c>
      <c r="L169" t="inlineStr">
        <is>
          <t>0001769628-26-000366</t>
        </is>
      </c>
      <c r="M169" t="inlineStr">
        <is>
          <t>CY2026Q2</t>
        </is>
      </c>
    </row>
    <row r="170">
      <c r="A170" t="inlineStr">
        <is>
          <t>interest_expense_debt</t>
        </is>
      </c>
      <c r="B170" t="inlineStr">
        <is>
          <t>InterestExpenseDebt</t>
        </is>
      </c>
      <c r="C170" t="inlineStr">
        <is>
          <t>us-gaap</t>
        </is>
      </c>
      <c r="D170" t="inlineStr">
        <is>
          <t>USD</t>
        </is>
      </c>
      <c r="E170" t="inlineStr">
        <is>
          <t>2023-01-01</t>
        </is>
      </c>
      <c r="F170" t="inlineStr">
        <is>
          <t>2023-12-31</t>
        </is>
      </c>
      <c r="G170" t="n">
        <v>27000000</v>
      </c>
      <c r="H170" t="n">
        <v>2025</v>
      </c>
      <c r="I170" t="inlineStr">
        <is>
          <t>FY</t>
        </is>
      </c>
      <c r="J170" t="inlineStr">
        <is>
          <t>10-K</t>
        </is>
      </c>
      <c r="K170" t="inlineStr">
        <is>
          <t>2026-03-02</t>
        </is>
      </c>
      <c r="L170" t="inlineStr">
        <is>
          <t>0001769628-26-000104</t>
        </is>
      </c>
      <c r="M170" t="inlineStr">
        <is>
          <t>CY2023</t>
        </is>
      </c>
    </row>
    <row r="171">
      <c r="A171" t="inlineStr">
        <is>
          <t>interest_expense_debt</t>
        </is>
      </c>
      <c r="B171" t="inlineStr">
        <is>
          <t>InterestExpenseDebt</t>
        </is>
      </c>
      <c r="C171" t="inlineStr">
        <is>
          <t>us-gaap</t>
        </is>
      </c>
      <c r="D171" t="inlineStr">
        <is>
          <t>USD</t>
        </is>
      </c>
      <c r="E171" t="inlineStr">
        <is>
          <t>2024-01-01</t>
        </is>
      </c>
      <c r="F171" t="inlineStr">
        <is>
          <t>2024-03-31</t>
        </is>
      </c>
      <c r="G171" t="n">
        <v>40503000</v>
      </c>
      <c r="H171" t="n">
        <v>2025</v>
      </c>
      <c r="I171" t="inlineStr">
        <is>
          <t>Q1</t>
        </is>
      </c>
      <c r="J171" t="inlineStr">
        <is>
          <t>10-Q</t>
        </is>
      </c>
      <c r="K171" t="inlineStr">
        <is>
          <t>2025-05-15</t>
        </is>
      </c>
      <c r="L171" t="inlineStr">
        <is>
          <t>0001769628-25-000014</t>
        </is>
      </c>
      <c r="M171" t="inlineStr">
        <is>
          <t>CY2024Q1</t>
        </is>
      </c>
    </row>
    <row r="172">
      <c r="A172" t="inlineStr">
        <is>
          <t>interest_expense_debt</t>
        </is>
      </c>
      <c r="B172" t="inlineStr">
        <is>
          <t>InterestExpenseDebt</t>
        </is>
      </c>
      <c r="C172" t="inlineStr">
        <is>
          <t>us-gaap</t>
        </is>
      </c>
      <c r="D172" t="inlineStr">
        <is>
          <t>USD</t>
        </is>
      </c>
      <c r="E172" t="inlineStr">
        <is>
          <t>2024-01-01</t>
        </is>
      </c>
      <c r="F172" t="inlineStr">
        <is>
          <t>2024-06-30</t>
        </is>
      </c>
      <c r="G172" t="n">
        <v>107600000</v>
      </c>
      <c r="H172" t="n">
        <v>2025</v>
      </c>
      <c r="I172" t="inlineStr">
        <is>
          <t>Q2</t>
        </is>
      </c>
      <c r="J172" t="inlineStr">
        <is>
          <t>10-Q</t>
        </is>
      </c>
      <c r="K172" t="inlineStr">
        <is>
          <t>2025-08-13</t>
        </is>
      </c>
      <c r="L172" t="inlineStr">
        <is>
          <t>0001769628-25-000041</t>
        </is>
      </c>
    </row>
    <row r="173">
      <c r="A173" t="inlineStr">
        <is>
          <t>interest_expense_debt</t>
        </is>
      </c>
      <c r="B173" t="inlineStr">
        <is>
          <t>InterestExpenseDebt</t>
        </is>
      </c>
      <c r="C173" t="inlineStr">
        <is>
          <t>us-gaap</t>
        </is>
      </c>
      <c r="D173" t="inlineStr">
        <is>
          <t>USD</t>
        </is>
      </c>
      <c r="E173" t="inlineStr">
        <is>
          <t>2024-04-01</t>
        </is>
      </c>
      <c r="F173" t="inlineStr">
        <is>
          <t>2024-06-30</t>
        </is>
      </c>
      <c r="G173" t="n">
        <v>67097000</v>
      </c>
      <c r="H173" t="n">
        <v>2025</v>
      </c>
      <c r="I173" t="inlineStr">
        <is>
          <t>Q2</t>
        </is>
      </c>
      <c r="J173" t="inlineStr">
        <is>
          <t>10-Q</t>
        </is>
      </c>
      <c r="K173" t="inlineStr">
        <is>
          <t>2025-08-13</t>
        </is>
      </c>
      <c r="L173" t="inlineStr">
        <is>
          <t>0001769628-25-000041</t>
        </is>
      </c>
      <c r="M173" t="inlineStr">
        <is>
          <t>CY2024Q2</t>
        </is>
      </c>
    </row>
    <row r="174">
      <c r="A174" t="inlineStr">
        <is>
          <t>interest_expense_debt</t>
        </is>
      </c>
      <c r="B174" t="inlineStr">
        <is>
          <t>InterestExpenseDebt</t>
        </is>
      </c>
      <c r="C174" t="inlineStr">
        <is>
          <t>us-gaap</t>
        </is>
      </c>
      <c r="D174" t="inlineStr">
        <is>
          <t>USD</t>
        </is>
      </c>
      <c r="E174" t="inlineStr">
        <is>
          <t>2024-01-01</t>
        </is>
      </c>
      <c r="F174" t="inlineStr">
        <is>
          <t>2024-09-30</t>
        </is>
      </c>
      <c r="G174" t="n">
        <v>209928000</v>
      </c>
      <c r="H174" t="n">
        <v>2025</v>
      </c>
      <c r="I174" t="inlineStr">
        <is>
          <t>Q3</t>
        </is>
      </c>
      <c r="J174" t="inlineStr">
        <is>
          <t>10-Q</t>
        </is>
      </c>
      <c r="K174" t="inlineStr">
        <is>
          <t>2025-11-13</t>
        </is>
      </c>
      <c r="L174" t="inlineStr">
        <is>
          <t>0001769628-25-000062</t>
        </is>
      </c>
    </row>
    <row r="175">
      <c r="A175" t="inlineStr">
        <is>
          <t>interest_expense_debt</t>
        </is>
      </c>
      <c r="B175" t="inlineStr">
        <is>
          <t>InterestExpenseDebt</t>
        </is>
      </c>
      <c r="C175" t="inlineStr">
        <is>
          <t>us-gaap</t>
        </is>
      </c>
      <c r="D175" t="inlineStr">
        <is>
          <t>USD</t>
        </is>
      </c>
      <c r="E175" t="inlineStr">
        <is>
          <t>2024-07-01</t>
        </is>
      </c>
      <c r="F175" t="inlineStr">
        <is>
          <t>2024-09-30</t>
        </is>
      </c>
      <c r="G175" t="n">
        <v>102328000</v>
      </c>
      <c r="H175" t="n">
        <v>2025</v>
      </c>
      <c r="I175" t="inlineStr">
        <is>
          <t>Q3</t>
        </is>
      </c>
      <c r="J175" t="inlineStr">
        <is>
          <t>10-Q</t>
        </is>
      </c>
      <c r="K175" t="inlineStr">
        <is>
          <t>2025-11-13</t>
        </is>
      </c>
      <c r="L175" t="inlineStr">
        <is>
          <t>0001769628-25-000062</t>
        </is>
      </c>
      <c r="M175" t="inlineStr">
        <is>
          <t>CY2024Q3</t>
        </is>
      </c>
    </row>
    <row r="176">
      <c r="A176" t="inlineStr">
        <is>
          <t>interest_expense_debt</t>
        </is>
      </c>
      <c r="B176" t="inlineStr">
        <is>
          <t>InterestExpenseDebt</t>
        </is>
      </c>
      <c r="C176" t="inlineStr">
        <is>
          <t>us-gaap</t>
        </is>
      </c>
      <c r="D176" t="inlineStr">
        <is>
          <t>USD</t>
        </is>
      </c>
      <c r="E176" t="inlineStr">
        <is>
          <t>2024-01-01</t>
        </is>
      </c>
      <c r="F176" t="inlineStr">
        <is>
          <t>2024-12-31</t>
        </is>
      </c>
      <c r="G176" t="n">
        <v>349000000</v>
      </c>
      <c r="H176" t="n">
        <v>2025</v>
      </c>
      <c r="I176" t="inlineStr">
        <is>
          <t>FY</t>
        </is>
      </c>
      <c r="J176" t="inlineStr">
        <is>
          <t>10-K</t>
        </is>
      </c>
      <c r="K176" t="inlineStr">
        <is>
          <t>2026-03-02</t>
        </is>
      </c>
      <c r="L176" t="inlineStr">
        <is>
          <t>0001769628-26-000104</t>
        </is>
      </c>
      <c r="M176" t="inlineStr">
        <is>
          <t>CY2024</t>
        </is>
      </c>
    </row>
    <row r="177">
      <c r="A177" t="inlineStr">
        <is>
          <t>interest_expense_debt</t>
        </is>
      </c>
      <c r="B177" t="inlineStr">
        <is>
          <t>InterestExpenseDebt</t>
        </is>
      </c>
      <c r="C177" t="inlineStr">
        <is>
          <t>us-gaap</t>
        </is>
      </c>
      <c r="D177" t="inlineStr">
        <is>
          <t>USD</t>
        </is>
      </c>
      <c r="E177" t="inlineStr">
        <is>
          <t>2025-01-01</t>
        </is>
      </c>
      <c r="F177" t="inlineStr">
        <is>
          <t>2025-03-31</t>
        </is>
      </c>
      <c r="G177" t="n">
        <v>257371000</v>
      </c>
      <c r="H177" t="n">
        <v>2025</v>
      </c>
      <c r="I177" t="inlineStr">
        <is>
          <t>Q1</t>
        </is>
      </c>
      <c r="J177" t="inlineStr">
        <is>
          <t>10-Q</t>
        </is>
      </c>
      <c r="K177" t="inlineStr">
        <is>
          <t>2025-05-15</t>
        </is>
      </c>
      <c r="L177" t="inlineStr">
        <is>
          <t>0001769628-25-000014</t>
        </is>
      </c>
    </row>
    <row r="178">
      <c r="A178" t="inlineStr">
        <is>
          <t>interest_expense_debt</t>
        </is>
      </c>
      <c r="B178" t="inlineStr">
        <is>
          <t>InterestExpenseDebt</t>
        </is>
      </c>
      <c r="C178" t="inlineStr">
        <is>
          <t>us-gaap</t>
        </is>
      </c>
      <c r="D178" t="inlineStr">
        <is>
          <t>USD</t>
        </is>
      </c>
      <c r="E178" t="inlineStr">
        <is>
          <t>2025-01-01</t>
        </is>
      </c>
      <c r="F178" t="inlineStr">
        <is>
          <t>2025-03-31</t>
        </is>
      </c>
      <c r="G178" t="n">
        <v>257000000</v>
      </c>
      <c r="H178" t="n">
        <v>2026</v>
      </c>
      <c r="I178" t="inlineStr">
        <is>
          <t>Q1</t>
        </is>
      </c>
      <c r="J178" t="inlineStr">
        <is>
          <t>10-Q</t>
        </is>
      </c>
      <c r="K178" t="inlineStr">
        <is>
          <t>2026-05-08</t>
        </is>
      </c>
      <c r="L178" t="inlineStr">
        <is>
          <t>0001769628-26-000222</t>
        </is>
      </c>
      <c r="M178" t="inlineStr">
        <is>
          <t>CY2025Q1</t>
        </is>
      </c>
    </row>
    <row r="179">
      <c r="A179" t="inlineStr">
        <is>
          <t>interest_expense_debt</t>
        </is>
      </c>
      <c r="B179" t="inlineStr">
        <is>
          <t>InterestExpenseDebt</t>
        </is>
      </c>
      <c r="C179" t="inlineStr">
        <is>
          <t>us-gaap</t>
        </is>
      </c>
      <c r="D179" t="inlineStr">
        <is>
          <t>USD</t>
        </is>
      </c>
      <c r="E179" t="inlineStr">
        <is>
          <t>2025-01-01</t>
        </is>
      </c>
      <c r="F179" t="inlineStr">
        <is>
          <t>2025-06-30</t>
        </is>
      </c>
      <c r="G179" t="n">
        <v>513533000</v>
      </c>
      <c r="H179" t="n">
        <v>2025</v>
      </c>
      <c r="I179" t="inlineStr">
        <is>
          <t>Q2</t>
        </is>
      </c>
      <c r="J179" t="inlineStr">
        <is>
          <t>10-Q</t>
        </is>
      </c>
      <c r="K179" t="inlineStr">
        <is>
          <t>2025-08-13</t>
        </is>
      </c>
      <c r="L179" t="inlineStr">
        <is>
          <t>0001769628-25-000041</t>
        </is>
      </c>
    </row>
    <row r="180">
      <c r="A180" t="inlineStr">
        <is>
          <t>interest_expense_debt</t>
        </is>
      </c>
      <c r="B180" t="inlineStr">
        <is>
          <t>InterestExpenseDebt</t>
        </is>
      </c>
      <c r="C180" t="inlineStr">
        <is>
          <t>us-gaap</t>
        </is>
      </c>
      <c r="D180" t="inlineStr">
        <is>
          <t>USD</t>
        </is>
      </c>
      <c r="E180" t="inlineStr">
        <is>
          <t>2025-04-01</t>
        </is>
      </c>
      <c r="F180" t="inlineStr">
        <is>
          <t>2025-06-30</t>
        </is>
      </c>
      <c r="G180" t="n">
        <v>256162000</v>
      </c>
      <c r="H180" t="n">
        <v>2025</v>
      </c>
      <c r="I180" t="inlineStr">
        <is>
          <t>Q2</t>
        </is>
      </c>
      <c r="J180" t="inlineStr">
        <is>
          <t>10-Q</t>
        </is>
      </c>
      <c r="K180" t="inlineStr">
        <is>
          <t>2025-08-13</t>
        </is>
      </c>
      <c r="L180" t="inlineStr">
        <is>
          <t>0001769628-25-000041</t>
        </is>
      </c>
    </row>
    <row r="181">
      <c r="A181" t="inlineStr">
        <is>
          <t>interest_expense_debt</t>
        </is>
      </c>
      <c r="B181" t="inlineStr">
        <is>
          <t>InterestExpenseDebt</t>
        </is>
      </c>
      <c r="C181" t="inlineStr">
        <is>
          <t>us-gaap</t>
        </is>
      </c>
      <c r="D181" t="inlineStr">
        <is>
          <t>USD</t>
        </is>
      </c>
      <c r="E181" t="inlineStr">
        <is>
          <t>2025-01-01</t>
        </is>
      </c>
      <c r="F181" t="inlineStr">
        <is>
          <t>2025-06-30</t>
        </is>
      </c>
      <c r="G181" t="n">
        <v>514000000</v>
      </c>
      <c r="H181" t="n">
        <v>2026</v>
      </c>
      <c r="I181" t="inlineStr">
        <is>
          <t>Q2</t>
        </is>
      </c>
      <c r="J181" t="inlineStr">
        <is>
          <t>10-Q</t>
        </is>
      </c>
      <c r="K181" t="inlineStr">
        <is>
          <t>2026-08-12</t>
        </is>
      </c>
      <c r="L181" t="inlineStr">
        <is>
          <t>0001769628-26-000366</t>
        </is>
      </c>
    </row>
    <row r="182">
      <c r="A182" t="inlineStr">
        <is>
          <t>interest_expense_debt</t>
        </is>
      </c>
      <c r="B182" t="inlineStr">
        <is>
          <t>InterestExpenseDebt</t>
        </is>
      </c>
      <c r="C182" t="inlineStr">
        <is>
          <t>us-gaap</t>
        </is>
      </c>
      <c r="D182" t="inlineStr">
        <is>
          <t>USD</t>
        </is>
      </c>
      <c r="E182" t="inlineStr">
        <is>
          <t>2025-04-01</t>
        </is>
      </c>
      <c r="F182" t="inlineStr">
        <is>
          <t>2025-06-30</t>
        </is>
      </c>
      <c r="G182" t="n">
        <v>256000000</v>
      </c>
      <c r="H182" t="n">
        <v>2026</v>
      </c>
      <c r="I182" t="inlineStr">
        <is>
          <t>Q2</t>
        </is>
      </c>
      <c r="J182" t="inlineStr">
        <is>
          <t>10-Q</t>
        </is>
      </c>
      <c r="K182" t="inlineStr">
        <is>
          <t>2026-08-12</t>
        </is>
      </c>
      <c r="L182" t="inlineStr">
        <is>
          <t>0001769628-26-000366</t>
        </is>
      </c>
      <c r="M182" t="inlineStr">
        <is>
          <t>CY2025Q2</t>
        </is>
      </c>
    </row>
    <row r="183">
      <c r="A183" t="inlineStr">
        <is>
          <t>interest_expense_debt</t>
        </is>
      </c>
      <c r="B183" t="inlineStr">
        <is>
          <t>InterestExpenseDebt</t>
        </is>
      </c>
      <c r="C183" t="inlineStr">
        <is>
          <t>us-gaap</t>
        </is>
      </c>
      <c r="D183" t="inlineStr">
        <is>
          <t>USD</t>
        </is>
      </c>
      <c r="E183" t="inlineStr">
        <is>
          <t>2025-01-01</t>
        </is>
      </c>
      <c r="F183" t="inlineStr">
        <is>
          <t>2025-09-30</t>
        </is>
      </c>
      <c r="G183" t="n">
        <v>796949000</v>
      </c>
      <c r="H183" t="n">
        <v>2025</v>
      </c>
      <c r="I183" t="inlineStr">
        <is>
          <t>Q3</t>
        </is>
      </c>
      <c r="J183" t="inlineStr">
        <is>
          <t>10-Q</t>
        </is>
      </c>
      <c r="K183" t="inlineStr">
        <is>
          <t>2025-11-13</t>
        </is>
      </c>
      <c r="L183" t="inlineStr">
        <is>
          <t>0001769628-25-000062</t>
        </is>
      </c>
    </row>
    <row r="184">
      <c r="A184" t="inlineStr">
        <is>
          <t>interest_expense_debt</t>
        </is>
      </c>
      <c r="B184" t="inlineStr">
        <is>
          <t>InterestExpenseDebt</t>
        </is>
      </c>
      <c r="C184" t="inlineStr">
        <is>
          <t>us-gaap</t>
        </is>
      </c>
      <c r="D184" t="inlineStr">
        <is>
          <t>USD</t>
        </is>
      </c>
      <c r="E184" t="inlineStr">
        <is>
          <t>2025-07-01</t>
        </is>
      </c>
      <c r="F184" t="inlineStr">
        <is>
          <t>2025-09-30</t>
        </is>
      </c>
      <c r="G184" t="n">
        <v>283416000</v>
      </c>
      <c r="H184" t="n">
        <v>2025</v>
      </c>
      <c r="I184" t="inlineStr">
        <is>
          <t>Q3</t>
        </is>
      </c>
      <c r="J184" t="inlineStr">
        <is>
          <t>10-Q</t>
        </is>
      </c>
      <c r="K184" t="inlineStr">
        <is>
          <t>2025-11-13</t>
        </is>
      </c>
      <c r="L184" t="inlineStr">
        <is>
          <t>0001769628-25-000062</t>
        </is>
      </c>
      <c r="M184" t="inlineStr">
        <is>
          <t>CY2025Q3</t>
        </is>
      </c>
    </row>
    <row r="185">
      <c r="A185" t="inlineStr">
        <is>
          <t>interest_expense_debt</t>
        </is>
      </c>
      <c r="B185" t="inlineStr">
        <is>
          <t>InterestExpenseDebt</t>
        </is>
      </c>
      <c r="C185" t="inlineStr">
        <is>
          <t>us-gaap</t>
        </is>
      </c>
      <c r="D185" t="inlineStr">
        <is>
          <t>USD</t>
        </is>
      </c>
      <c r="E185" t="inlineStr">
        <is>
          <t>2025-01-01</t>
        </is>
      </c>
      <c r="F185" t="inlineStr">
        <is>
          <t>2025-12-31</t>
        </is>
      </c>
      <c r="G185" t="n">
        <v>1148000000</v>
      </c>
      <c r="H185" t="n">
        <v>2025</v>
      </c>
      <c r="I185" t="inlineStr">
        <is>
          <t>FY</t>
        </is>
      </c>
      <c r="J185" t="inlineStr">
        <is>
          <t>10-K</t>
        </is>
      </c>
      <c r="K185" t="inlineStr">
        <is>
          <t>2026-03-02</t>
        </is>
      </c>
      <c r="L185" t="inlineStr">
        <is>
          <t>0001769628-26-000104</t>
        </is>
      </c>
      <c r="M185" t="inlineStr">
        <is>
          <t>CY2025</t>
        </is>
      </c>
    </row>
    <row r="186">
      <c r="A186" t="inlineStr">
        <is>
          <t>interest_expense_debt</t>
        </is>
      </c>
      <c r="B186" t="inlineStr">
        <is>
          <t>InterestExpenseDebt</t>
        </is>
      </c>
      <c r="C186" t="inlineStr">
        <is>
          <t>us-gaap</t>
        </is>
      </c>
      <c r="D186" t="inlineStr">
        <is>
          <t>USD</t>
        </is>
      </c>
      <c r="E186" t="inlineStr">
        <is>
          <t>2026-01-01</t>
        </is>
      </c>
      <c r="F186" t="inlineStr">
        <is>
          <t>2026-03-31</t>
        </is>
      </c>
      <c r="G186" t="n">
        <v>427000000</v>
      </c>
      <c r="H186" t="n">
        <v>2026</v>
      </c>
      <c r="I186" t="inlineStr">
        <is>
          <t>Q1</t>
        </is>
      </c>
      <c r="J186" t="inlineStr">
        <is>
          <t>10-Q</t>
        </is>
      </c>
      <c r="K186" t="inlineStr">
        <is>
          <t>2026-05-08</t>
        </is>
      </c>
      <c r="L186" t="inlineStr">
        <is>
          <t>0001769628-26-000222</t>
        </is>
      </c>
      <c r="M186" t="inlineStr">
        <is>
          <t>CY2026Q1</t>
        </is>
      </c>
    </row>
    <row r="187">
      <c r="A187" t="inlineStr">
        <is>
          <t>interest_expense_debt</t>
        </is>
      </c>
      <c r="B187" t="inlineStr">
        <is>
          <t>InterestExpenseDebt</t>
        </is>
      </c>
      <c r="C187" t="inlineStr">
        <is>
          <t>us-gaap</t>
        </is>
      </c>
      <c r="D187" t="inlineStr">
        <is>
          <t>USD</t>
        </is>
      </c>
      <c r="E187" t="inlineStr">
        <is>
          <t>2026-01-01</t>
        </is>
      </c>
      <c r="F187" t="inlineStr">
        <is>
          <t>2026-06-30</t>
        </is>
      </c>
      <c r="G187" t="n">
        <v>985000000</v>
      </c>
      <c r="H187" t="n">
        <v>2026</v>
      </c>
      <c r="I187" t="inlineStr">
        <is>
          <t>Q2</t>
        </is>
      </c>
      <c r="J187" t="inlineStr">
        <is>
          <t>10-Q</t>
        </is>
      </c>
      <c r="K187" t="inlineStr">
        <is>
          <t>2026-08-12</t>
        </is>
      </c>
      <c r="L187" t="inlineStr">
        <is>
          <t>0001769628-26-000366</t>
        </is>
      </c>
    </row>
    <row r="188">
      <c r="A188" t="inlineStr">
        <is>
          <t>interest_expense_debt</t>
        </is>
      </c>
      <c r="B188" t="inlineStr">
        <is>
          <t>InterestExpenseDebt</t>
        </is>
      </c>
      <c r="C188" t="inlineStr">
        <is>
          <t>us-gaap</t>
        </is>
      </c>
      <c r="D188" t="inlineStr">
        <is>
          <t>USD</t>
        </is>
      </c>
      <c r="E188" t="inlineStr">
        <is>
          <t>2026-04-01</t>
        </is>
      </c>
      <c r="F188" t="inlineStr">
        <is>
          <t>2026-06-30</t>
        </is>
      </c>
      <c r="G188" t="n">
        <v>558000000</v>
      </c>
      <c r="H188" t="n">
        <v>2026</v>
      </c>
      <c r="I188" t="inlineStr">
        <is>
          <t>Q2</t>
        </is>
      </c>
      <c r="J188" t="inlineStr">
        <is>
          <t>10-Q</t>
        </is>
      </c>
      <c r="K188" t="inlineStr">
        <is>
          <t>2026-08-12</t>
        </is>
      </c>
      <c r="L188" t="inlineStr">
        <is>
          <t>0001769628-26-000366</t>
        </is>
      </c>
      <c r="M188" t="inlineStr">
        <is>
          <t>CY2026Q2</t>
        </is>
      </c>
    </row>
    <row r="189">
      <c r="A189" t="inlineStr">
        <is>
          <t>long_term_debt</t>
        </is>
      </c>
      <c r="B189" t="inlineStr">
        <is>
          <t>LongTermDebt</t>
        </is>
      </c>
      <c r="C189" t="inlineStr">
        <is>
          <t>us-gaap</t>
        </is>
      </c>
      <c r="D189" t="inlineStr">
        <is>
          <t>USD</t>
        </is>
      </c>
      <c r="F189" t="inlineStr">
        <is>
          <t>2024-12-31</t>
        </is>
      </c>
      <c r="G189" t="n">
        <v>7926340000</v>
      </c>
      <c r="H189" t="n">
        <v>2025</v>
      </c>
      <c r="I189" t="inlineStr">
        <is>
          <t>Q1</t>
        </is>
      </c>
      <c r="J189" t="inlineStr">
        <is>
          <t>10-Q</t>
        </is>
      </c>
      <c r="K189" t="inlineStr">
        <is>
          <t>2025-05-15</t>
        </is>
      </c>
      <c r="L189" t="inlineStr">
        <is>
          <t>0001769628-25-000014</t>
        </is>
      </c>
    </row>
    <row r="190">
      <c r="A190" t="inlineStr">
        <is>
          <t>long_term_debt</t>
        </is>
      </c>
      <c r="B190" t="inlineStr">
        <is>
          <t>LongTermDebt</t>
        </is>
      </c>
      <c r="C190" t="inlineStr">
        <is>
          <t>us-gaap</t>
        </is>
      </c>
      <c r="D190" t="inlineStr">
        <is>
          <t>USD</t>
        </is>
      </c>
      <c r="F190" t="inlineStr">
        <is>
          <t>2024-12-31</t>
        </is>
      </c>
      <c r="G190" t="n">
        <v>7926340000</v>
      </c>
      <c r="H190" t="n">
        <v>2025</v>
      </c>
      <c r="I190" t="inlineStr">
        <is>
          <t>Q2</t>
        </is>
      </c>
      <c r="J190" t="inlineStr">
        <is>
          <t>10-Q</t>
        </is>
      </c>
      <c r="K190" t="inlineStr">
        <is>
          <t>2025-08-13</t>
        </is>
      </c>
      <c r="L190" t="inlineStr">
        <is>
          <t>0001769628-25-000041</t>
        </is>
      </c>
    </row>
    <row r="191">
      <c r="A191" t="inlineStr">
        <is>
          <t>long_term_debt</t>
        </is>
      </c>
      <c r="B191" t="inlineStr">
        <is>
          <t>LongTermDebt</t>
        </is>
      </c>
      <c r="C191" t="inlineStr">
        <is>
          <t>us-gaap</t>
        </is>
      </c>
      <c r="D191" t="inlineStr">
        <is>
          <t>USD</t>
        </is>
      </c>
      <c r="F191" t="inlineStr">
        <is>
          <t>2024-12-31</t>
        </is>
      </c>
      <c r="G191" t="n">
        <v>7926340000</v>
      </c>
      <c r="H191" t="n">
        <v>2025</v>
      </c>
      <c r="I191" t="inlineStr">
        <is>
          <t>Q3</t>
        </is>
      </c>
      <c r="J191" t="inlineStr">
        <is>
          <t>10-Q</t>
        </is>
      </c>
      <c r="K191" t="inlineStr">
        <is>
          <t>2025-11-13</t>
        </is>
      </c>
      <c r="L191" t="inlineStr">
        <is>
          <t>0001769628-25-000062</t>
        </is>
      </c>
    </row>
    <row r="192">
      <c r="A192" t="inlineStr">
        <is>
          <t>long_term_debt</t>
        </is>
      </c>
      <c r="B192" t="inlineStr">
        <is>
          <t>LongTermDebt</t>
        </is>
      </c>
      <c r="C192" t="inlineStr">
        <is>
          <t>us-gaap</t>
        </is>
      </c>
      <c r="D192" t="inlineStr">
        <is>
          <t>USD</t>
        </is>
      </c>
      <c r="F192" t="inlineStr">
        <is>
          <t>2024-12-31</t>
        </is>
      </c>
      <c r="G192" t="n">
        <v>7926000000</v>
      </c>
      <c r="H192" t="n">
        <v>2025</v>
      </c>
      <c r="I192" t="inlineStr">
        <is>
          <t>FY</t>
        </is>
      </c>
      <c r="J192" t="inlineStr">
        <is>
          <t>10-K</t>
        </is>
      </c>
      <c r="K192" t="inlineStr">
        <is>
          <t>2026-03-02</t>
        </is>
      </c>
      <c r="L192" t="inlineStr">
        <is>
          <t>0001769628-26-000104</t>
        </is>
      </c>
      <c r="M192" t="inlineStr">
        <is>
          <t>CY2024Q4I</t>
        </is>
      </c>
    </row>
    <row r="193">
      <c r="A193" t="inlineStr">
        <is>
          <t>long_term_debt</t>
        </is>
      </c>
      <c r="B193" t="inlineStr">
        <is>
          <t>LongTermDebt</t>
        </is>
      </c>
      <c r="C193" t="inlineStr">
        <is>
          <t>us-gaap</t>
        </is>
      </c>
      <c r="D193" t="inlineStr">
        <is>
          <t>USD</t>
        </is>
      </c>
      <c r="F193" t="inlineStr">
        <is>
          <t>2025-03-31</t>
        </is>
      </c>
      <c r="G193" t="n">
        <v>8711666000</v>
      </c>
      <c r="H193" t="n">
        <v>2025</v>
      </c>
      <c r="I193" t="inlineStr">
        <is>
          <t>Q1</t>
        </is>
      </c>
      <c r="J193" t="inlineStr">
        <is>
          <t>10-Q</t>
        </is>
      </c>
      <c r="K193" t="inlineStr">
        <is>
          <t>2025-05-15</t>
        </is>
      </c>
      <c r="L193" t="inlineStr">
        <is>
          <t>0001769628-25-000014</t>
        </is>
      </c>
      <c r="M193" t="inlineStr">
        <is>
          <t>CY2025Q1I</t>
        </is>
      </c>
    </row>
    <row r="194">
      <c r="A194" t="inlineStr">
        <is>
          <t>long_term_debt</t>
        </is>
      </c>
      <c r="B194" t="inlineStr">
        <is>
          <t>LongTermDebt</t>
        </is>
      </c>
      <c r="C194" t="inlineStr">
        <is>
          <t>us-gaap</t>
        </is>
      </c>
      <c r="D194" t="inlineStr">
        <is>
          <t>USD</t>
        </is>
      </c>
      <c r="F194" t="inlineStr">
        <is>
          <t>2025-06-30</t>
        </is>
      </c>
      <c r="G194" t="n">
        <v>11051501000</v>
      </c>
      <c r="H194" t="n">
        <v>2025</v>
      </c>
      <c r="I194" t="inlineStr">
        <is>
          <t>Q2</t>
        </is>
      </c>
      <c r="J194" t="inlineStr">
        <is>
          <t>10-Q</t>
        </is>
      </c>
      <c r="K194" t="inlineStr">
        <is>
          <t>2025-08-13</t>
        </is>
      </c>
      <c r="L194" t="inlineStr">
        <is>
          <t>0001769628-25-000041</t>
        </is>
      </c>
      <c r="M194" t="inlineStr">
        <is>
          <t>CY2025Q2I</t>
        </is>
      </c>
    </row>
    <row r="195">
      <c r="A195" t="inlineStr">
        <is>
          <t>long_term_debt</t>
        </is>
      </c>
      <c r="B195" t="inlineStr">
        <is>
          <t>LongTermDebt</t>
        </is>
      </c>
      <c r="C195" t="inlineStr">
        <is>
          <t>us-gaap</t>
        </is>
      </c>
      <c r="D195" t="inlineStr">
        <is>
          <t>USD</t>
        </is>
      </c>
      <c r="F195" t="inlineStr">
        <is>
          <t>2025-09-30</t>
        </is>
      </c>
      <c r="G195" t="n">
        <v>14034934000</v>
      </c>
      <c r="H195" t="n">
        <v>2025</v>
      </c>
      <c r="I195" t="inlineStr">
        <is>
          <t>Q3</t>
        </is>
      </c>
      <c r="J195" t="inlineStr">
        <is>
          <t>10-Q</t>
        </is>
      </c>
      <c r="K195" t="inlineStr">
        <is>
          <t>2025-11-13</t>
        </is>
      </c>
      <c r="L195" t="inlineStr">
        <is>
          <t>0001769628-25-000062</t>
        </is>
      </c>
      <c r="M195" t="inlineStr">
        <is>
          <t>CY2025Q3I</t>
        </is>
      </c>
    </row>
    <row r="196">
      <c r="A196" t="inlineStr">
        <is>
          <t>long_term_debt</t>
        </is>
      </c>
      <c r="B196" t="inlineStr">
        <is>
          <t>LongTermDebt</t>
        </is>
      </c>
      <c r="C196" t="inlineStr">
        <is>
          <t>us-gaap</t>
        </is>
      </c>
      <c r="D196" t="inlineStr">
        <is>
          <t>USD</t>
        </is>
      </c>
      <c r="F196" t="inlineStr">
        <is>
          <t>2025-12-31</t>
        </is>
      </c>
      <c r="G196" t="n">
        <v>21373000000</v>
      </c>
      <c r="H196" t="n">
        <v>2025</v>
      </c>
      <c r="I196" t="inlineStr">
        <is>
          <t>FY</t>
        </is>
      </c>
      <c r="J196" t="inlineStr">
        <is>
          <t>10-K</t>
        </is>
      </c>
      <c r="K196" t="inlineStr">
        <is>
          <t>2026-03-02</t>
        </is>
      </c>
      <c r="L196" t="inlineStr">
        <is>
          <t>0001769628-26-000104</t>
        </is>
      </c>
    </row>
    <row r="197">
      <c r="A197" t="inlineStr">
        <is>
          <t>long_term_debt</t>
        </is>
      </c>
      <c r="B197" t="inlineStr">
        <is>
          <t>LongTermDebt</t>
        </is>
      </c>
      <c r="C197" t="inlineStr">
        <is>
          <t>us-gaap</t>
        </is>
      </c>
      <c r="D197" t="inlineStr">
        <is>
          <t>USD</t>
        </is>
      </c>
      <c r="F197" t="inlineStr">
        <is>
          <t>2025-12-31</t>
        </is>
      </c>
      <c r="G197" t="n">
        <v>21373000000</v>
      </c>
      <c r="H197" t="n">
        <v>2026</v>
      </c>
      <c r="I197" t="inlineStr">
        <is>
          <t>Q1</t>
        </is>
      </c>
      <c r="J197" t="inlineStr">
        <is>
          <t>10-Q</t>
        </is>
      </c>
      <c r="K197" t="inlineStr">
        <is>
          <t>2026-05-08</t>
        </is>
      </c>
      <c r="L197" t="inlineStr">
        <is>
          <t>0001769628-26-000222</t>
        </is>
      </c>
      <c r="M197" t="inlineStr">
        <is>
          <t>CY2025Q4I</t>
        </is>
      </c>
    </row>
    <row r="198">
      <c r="A198" t="inlineStr">
        <is>
          <t>long_term_debt</t>
        </is>
      </c>
      <c r="B198" t="inlineStr">
        <is>
          <t>LongTermDebt</t>
        </is>
      </c>
      <c r="C198" t="inlineStr">
        <is>
          <t>us-gaap</t>
        </is>
      </c>
      <c r="D198" t="inlineStr">
        <is>
          <t>USD</t>
        </is>
      </c>
      <c r="F198" t="inlineStr">
        <is>
          <t>2026-03-31</t>
        </is>
      </c>
      <c r="G198" t="n">
        <v>24859000000</v>
      </c>
      <c r="H198" t="n">
        <v>2026</v>
      </c>
      <c r="I198" t="inlineStr">
        <is>
          <t>Q1</t>
        </is>
      </c>
      <c r="J198" t="inlineStr">
        <is>
          <t>10-Q</t>
        </is>
      </c>
      <c r="K198" t="inlineStr">
        <is>
          <t>2026-05-08</t>
        </is>
      </c>
      <c r="L198" t="inlineStr">
        <is>
          <t>0001769628-26-000222</t>
        </is>
      </c>
      <c r="M198" t="inlineStr">
        <is>
          <t>CY2026Q1I</t>
        </is>
      </c>
    </row>
    <row r="199">
      <c r="A199" t="inlineStr">
        <is>
          <t>net_income</t>
        </is>
      </c>
      <c r="B199" t="inlineStr">
        <is>
          <t>NetIncomeLoss</t>
        </is>
      </c>
      <c r="C199" t="inlineStr">
        <is>
          <t>us-gaap</t>
        </is>
      </c>
      <c r="D199" t="inlineStr">
        <is>
          <t>USD</t>
        </is>
      </c>
      <c r="E199" t="inlineStr">
        <is>
          <t>2023-01-01</t>
        </is>
      </c>
      <c r="F199" t="inlineStr">
        <is>
          <t>2023-12-31</t>
        </is>
      </c>
      <c r="G199" t="n">
        <v>-594000000</v>
      </c>
      <c r="H199" t="n">
        <v>2025</v>
      </c>
      <c r="I199" t="inlineStr">
        <is>
          <t>FY</t>
        </is>
      </c>
      <c r="J199" t="inlineStr">
        <is>
          <t>10-K</t>
        </is>
      </c>
      <c r="K199" t="inlineStr">
        <is>
          <t>2026-03-02</t>
        </is>
      </c>
      <c r="L199" t="inlineStr">
        <is>
          <t>0001769628-26-000104</t>
        </is>
      </c>
      <c r="M199" t="inlineStr">
        <is>
          <t>CY2023</t>
        </is>
      </c>
    </row>
    <row r="200">
      <c r="A200" t="inlineStr">
        <is>
          <t>net_income</t>
        </is>
      </c>
      <c r="B200" t="inlineStr">
        <is>
          <t>NetIncomeLoss</t>
        </is>
      </c>
      <c r="C200" t="inlineStr">
        <is>
          <t>us-gaap</t>
        </is>
      </c>
      <c r="D200" t="inlineStr">
        <is>
          <t>USD</t>
        </is>
      </c>
      <c r="E200" t="inlineStr">
        <is>
          <t>2024-01-01</t>
        </is>
      </c>
      <c r="F200" t="inlineStr">
        <is>
          <t>2024-03-31</t>
        </is>
      </c>
      <c r="G200" t="n">
        <v>-129248000</v>
      </c>
      <c r="H200" t="n">
        <v>2025</v>
      </c>
      <c r="I200" t="inlineStr">
        <is>
          <t>Q1</t>
        </is>
      </c>
      <c r="J200" t="inlineStr">
        <is>
          <t>10-Q</t>
        </is>
      </c>
      <c r="K200" t="inlineStr">
        <is>
          <t>2025-05-15</t>
        </is>
      </c>
      <c r="L200" t="inlineStr">
        <is>
          <t>0001769628-25-000014</t>
        </is>
      </c>
    </row>
    <row r="201">
      <c r="A201" t="inlineStr">
        <is>
          <t>net_income</t>
        </is>
      </c>
      <c r="B201" t="inlineStr">
        <is>
          <t>NetIncomeLoss</t>
        </is>
      </c>
      <c r="C201" t="inlineStr">
        <is>
          <t>us-gaap</t>
        </is>
      </c>
      <c r="D201" t="inlineStr">
        <is>
          <t>USD</t>
        </is>
      </c>
      <c r="E201" t="inlineStr">
        <is>
          <t>2024-01-01</t>
        </is>
      </c>
      <c r="F201" t="inlineStr">
        <is>
          <t>2024-03-31</t>
        </is>
      </c>
      <c r="G201" t="n">
        <v>-129248000</v>
      </c>
      <c r="H201" t="n">
        <v>2025</v>
      </c>
      <c r="I201" t="inlineStr">
        <is>
          <t>Q2</t>
        </is>
      </c>
      <c r="J201" t="inlineStr">
        <is>
          <t>10-Q</t>
        </is>
      </c>
      <c r="K201" t="inlineStr">
        <is>
          <t>2025-08-13</t>
        </is>
      </c>
      <c r="L201" t="inlineStr">
        <is>
          <t>0001769628-25-000041</t>
        </is>
      </c>
    </row>
    <row r="202">
      <c r="A202" t="inlineStr">
        <is>
          <t>net_income</t>
        </is>
      </c>
      <c r="B202" t="inlineStr">
        <is>
          <t>NetIncomeLoss</t>
        </is>
      </c>
      <c r="C202" t="inlineStr">
        <is>
          <t>us-gaap</t>
        </is>
      </c>
      <c r="D202" t="inlineStr">
        <is>
          <t>USD</t>
        </is>
      </c>
      <c r="E202" t="inlineStr">
        <is>
          <t>2024-01-01</t>
        </is>
      </c>
      <c r="F202" t="inlineStr">
        <is>
          <t>2024-03-31</t>
        </is>
      </c>
      <c r="G202" t="n">
        <v>-129248000</v>
      </c>
      <c r="H202" t="n">
        <v>2025</v>
      </c>
      <c r="I202" t="inlineStr">
        <is>
          <t>Q3</t>
        </is>
      </c>
      <c r="J202" t="inlineStr">
        <is>
          <t>10-Q</t>
        </is>
      </c>
      <c r="K202" t="inlineStr">
        <is>
          <t>2025-11-13</t>
        </is>
      </c>
      <c r="L202" t="inlineStr">
        <is>
          <t>0001769628-25-000062</t>
        </is>
      </c>
      <c r="M202" t="inlineStr">
        <is>
          <t>CY2024Q1</t>
        </is>
      </c>
    </row>
    <row r="203">
      <c r="A203" t="inlineStr">
        <is>
          <t>net_income</t>
        </is>
      </c>
      <c r="B203" t="inlineStr">
        <is>
          <t>NetIncomeLoss</t>
        </is>
      </c>
      <c r="C203" t="inlineStr">
        <is>
          <t>us-gaap</t>
        </is>
      </c>
      <c r="D203" t="inlineStr">
        <is>
          <t>USD</t>
        </is>
      </c>
      <c r="E203" t="inlineStr">
        <is>
          <t>2024-01-01</t>
        </is>
      </c>
      <c r="F203" t="inlineStr">
        <is>
          <t>2024-06-30</t>
        </is>
      </c>
      <c r="G203" t="n">
        <v>-452269000</v>
      </c>
      <c r="H203" t="n">
        <v>2025</v>
      </c>
      <c r="I203" t="inlineStr">
        <is>
          <t>Q2</t>
        </is>
      </c>
      <c r="J203" t="inlineStr">
        <is>
          <t>10-Q</t>
        </is>
      </c>
      <c r="K203" t="inlineStr">
        <is>
          <t>2025-08-13</t>
        </is>
      </c>
      <c r="L203" t="inlineStr">
        <is>
          <t>0001769628-25-000041</t>
        </is>
      </c>
    </row>
    <row r="204">
      <c r="A204" t="inlineStr">
        <is>
          <t>net_income</t>
        </is>
      </c>
      <c r="B204" t="inlineStr">
        <is>
          <t>NetIncomeLoss</t>
        </is>
      </c>
      <c r="C204" t="inlineStr">
        <is>
          <t>us-gaap</t>
        </is>
      </c>
      <c r="D204" t="inlineStr">
        <is>
          <t>USD</t>
        </is>
      </c>
      <c r="E204" t="inlineStr">
        <is>
          <t>2024-04-01</t>
        </is>
      </c>
      <c r="F204" t="inlineStr">
        <is>
          <t>2024-06-30</t>
        </is>
      </c>
      <c r="G204" t="n">
        <v>-323021000</v>
      </c>
      <c r="H204" t="n">
        <v>2025</v>
      </c>
      <c r="I204" t="inlineStr">
        <is>
          <t>Q2</t>
        </is>
      </c>
      <c r="J204" t="inlineStr">
        <is>
          <t>10-Q</t>
        </is>
      </c>
      <c r="K204" t="inlineStr">
        <is>
          <t>2025-08-13</t>
        </is>
      </c>
      <c r="L204" t="inlineStr">
        <is>
          <t>0001769628-25-000041</t>
        </is>
      </c>
    </row>
    <row r="205">
      <c r="A205" t="inlineStr">
        <is>
          <t>net_income</t>
        </is>
      </c>
      <c r="B205" t="inlineStr">
        <is>
          <t>NetIncomeLoss</t>
        </is>
      </c>
      <c r="C205" t="inlineStr">
        <is>
          <t>us-gaap</t>
        </is>
      </c>
      <c r="D205" t="inlineStr">
        <is>
          <t>USD</t>
        </is>
      </c>
      <c r="E205" t="inlineStr">
        <is>
          <t>2024-04-01</t>
        </is>
      </c>
      <c r="F205" t="inlineStr">
        <is>
          <t>2024-06-30</t>
        </is>
      </c>
      <c r="G205" t="n">
        <v>-323021000</v>
      </c>
      <c r="H205" t="n">
        <v>2025</v>
      </c>
      <c r="I205" t="inlineStr">
        <is>
          <t>Q3</t>
        </is>
      </c>
      <c r="J205" t="inlineStr">
        <is>
          <t>10-Q</t>
        </is>
      </c>
      <c r="K205" t="inlineStr">
        <is>
          <t>2025-11-13</t>
        </is>
      </c>
      <c r="L205" t="inlineStr">
        <is>
          <t>0001769628-25-000062</t>
        </is>
      </c>
      <c r="M205" t="inlineStr">
        <is>
          <t>CY2024Q2</t>
        </is>
      </c>
    </row>
    <row r="206">
      <c r="A206" t="inlineStr">
        <is>
          <t>net_income</t>
        </is>
      </c>
      <c r="B206" t="inlineStr">
        <is>
          <t>NetIncomeLoss</t>
        </is>
      </c>
      <c r="C206" t="inlineStr">
        <is>
          <t>us-gaap</t>
        </is>
      </c>
      <c r="D206" t="inlineStr">
        <is>
          <t>USD</t>
        </is>
      </c>
      <c r="E206" t="inlineStr">
        <is>
          <t>2024-01-01</t>
        </is>
      </c>
      <c r="F206" t="inlineStr">
        <is>
          <t>2024-09-30</t>
        </is>
      </c>
      <c r="G206" t="n">
        <v>-812076000</v>
      </c>
      <c r="H206" t="n">
        <v>2025</v>
      </c>
      <c r="I206" t="inlineStr">
        <is>
          <t>Q3</t>
        </is>
      </c>
      <c r="J206" t="inlineStr">
        <is>
          <t>10-Q</t>
        </is>
      </c>
      <c r="K206" t="inlineStr">
        <is>
          <t>2025-11-13</t>
        </is>
      </c>
      <c r="L206" t="inlineStr">
        <is>
          <t>0001769628-25-000062</t>
        </is>
      </c>
    </row>
    <row r="207">
      <c r="A207" t="inlineStr">
        <is>
          <t>net_income</t>
        </is>
      </c>
      <c r="B207" t="inlineStr">
        <is>
          <t>NetIncomeLoss</t>
        </is>
      </c>
      <c r="C207" t="inlineStr">
        <is>
          <t>us-gaap</t>
        </is>
      </c>
      <c r="D207" t="inlineStr">
        <is>
          <t>USD</t>
        </is>
      </c>
      <c r="E207" t="inlineStr">
        <is>
          <t>2024-07-01</t>
        </is>
      </c>
      <c r="F207" t="inlineStr">
        <is>
          <t>2024-09-30</t>
        </is>
      </c>
      <c r="G207" t="n">
        <v>-359807000</v>
      </c>
      <c r="H207" t="n">
        <v>2025</v>
      </c>
      <c r="I207" t="inlineStr">
        <is>
          <t>Q3</t>
        </is>
      </c>
      <c r="J207" t="inlineStr">
        <is>
          <t>10-Q</t>
        </is>
      </c>
      <c r="K207" t="inlineStr">
        <is>
          <t>2025-11-13</t>
        </is>
      </c>
      <c r="L207" t="inlineStr">
        <is>
          <t>0001769628-25-000062</t>
        </is>
      </c>
      <c r="M207" t="inlineStr">
        <is>
          <t>CY2024Q3</t>
        </is>
      </c>
    </row>
    <row r="208">
      <c r="A208" t="inlineStr">
        <is>
          <t>net_income</t>
        </is>
      </c>
      <c r="B208" t="inlineStr">
        <is>
          <t>NetIncomeLoss</t>
        </is>
      </c>
      <c r="C208" t="inlineStr">
        <is>
          <t>us-gaap</t>
        </is>
      </c>
      <c r="D208" t="inlineStr">
        <is>
          <t>USD</t>
        </is>
      </c>
      <c r="E208" t="inlineStr">
        <is>
          <t>2024-01-01</t>
        </is>
      </c>
      <c r="F208" t="inlineStr">
        <is>
          <t>2024-12-31</t>
        </is>
      </c>
      <c r="G208" t="n">
        <v>-863000000</v>
      </c>
      <c r="H208" t="n">
        <v>2025</v>
      </c>
      <c r="I208" t="inlineStr">
        <is>
          <t>FY</t>
        </is>
      </c>
      <c r="J208" t="inlineStr">
        <is>
          <t>10-K</t>
        </is>
      </c>
      <c r="K208" t="inlineStr">
        <is>
          <t>2026-03-02</t>
        </is>
      </c>
      <c r="L208" t="inlineStr">
        <is>
          <t>0001769628-26-000104</t>
        </is>
      </c>
      <c r="M208" t="inlineStr">
        <is>
          <t>CY2024</t>
        </is>
      </c>
    </row>
    <row r="209">
      <c r="A209" t="inlineStr">
        <is>
          <t>net_income</t>
        </is>
      </c>
      <c r="B209" t="inlineStr">
        <is>
          <t>NetIncomeLoss</t>
        </is>
      </c>
      <c r="C209" t="inlineStr">
        <is>
          <t>us-gaap</t>
        </is>
      </c>
      <c r="D209" t="inlineStr">
        <is>
          <t>USD</t>
        </is>
      </c>
      <c r="E209" t="inlineStr">
        <is>
          <t>2025-01-01</t>
        </is>
      </c>
      <c r="F209" t="inlineStr">
        <is>
          <t>2025-03-31</t>
        </is>
      </c>
      <c r="G209" t="n">
        <v>-314641000</v>
      </c>
      <c r="H209" t="n">
        <v>2025</v>
      </c>
      <c r="I209" t="inlineStr">
        <is>
          <t>Q1</t>
        </is>
      </c>
      <c r="J209" t="inlineStr">
        <is>
          <t>10-Q</t>
        </is>
      </c>
      <c r="K209" t="inlineStr">
        <is>
          <t>2025-05-15</t>
        </is>
      </c>
      <c r="L209" t="inlineStr">
        <is>
          <t>0001769628-25-000014</t>
        </is>
      </c>
    </row>
    <row r="210">
      <c r="A210" t="inlineStr">
        <is>
          <t>net_income</t>
        </is>
      </c>
      <c r="B210" t="inlineStr">
        <is>
          <t>NetIncomeLoss</t>
        </is>
      </c>
      <c r="C210" t="inlineStr">
        <is>
          <t>us-gaap</t>
        </is>
      </c>
      <c r="D210" t="inlineStr">
        <is>
          <t>USD</t>
        </is>
      </c>
      <c r="E210" t="inlineStr">
        <is>
          <t>2025-01-01</t>
        </is>
      </c>
      <c r="F210" t="inlineStr">
        <is>
          <t>2025-03-31</t>
        </is>
      </c>
      <c r="G210" t="n">
        <v>-314641000</v>
      </c>
      <c r="H210" t="n">
        <v>2025</v>
      </c>
      <c r="I210" t="inlineStr">
        <is>
          <t>Q2</t>
        </is>
      </c>
      <c r="J210" t="inlineStr">
        <is>
          <t>10-Q</t>
        </is>
      </c>
      <c r="K210" t="inlineStr">
        <is>
          <t>2025-08-13</t>
        </is>
      </c>
      <c r="L210" t="inlineStr">
        <is>
          <t>0001769628-25-000041</t>
        </is>
      </c>
    </row>
    <row r="211">
      <c r="A211" t="inlineStr">
        <is>
          <t>net_income</t>
        </is>
      </c>
      <c r="B211" t="inlineStr">
        <is>
          <t>NetIncomeLoss</t>
        </is>
      </c>
      <c r="C211" t="inlineStr">
        <is>
          <t>us-gaap</t>
        </is>
      </c>
      <c r="D211" t="inlineStr">
        <is>
          <t>USD</t>
        </is>
      </c>
      <c r="E211" t="inlineStr">
        <is>
          <t>2025-01-01</t>
        </is>
      </c>
      <c r="F211" t="inlineStr">
        <is>
          <t>2025-03-31</t>
        </is>
      </c>
      <c r="G211" t="n">
        <v>-314641000</v>
      </c>
      <c r="H211" t="n">
        <v>2025</v>
      </c>
      <c r="I211" t="inlineStr">
        <is>
          <t>Q3</t>
        </is>
      </c>
      <c r="J211" t="inlineStr">
        <is>
          <t>10-Q</t>
        </is>
      </c>
      <c r="K211" t="inlineStr">
        <is>
          <t>2025-11-13</t>
        </is>
      </c>
      <c r="L211" t="inlineStr">
        <is>
          <t>0001769628-25-000062</t>
        </is>
      </c>
    </row>
    <row r="212">
      <c r="A212" t="inlineStr">
        <is>
          <t>net_income</t>
        </is>
      </c>
      <c r="B212" t="inlineStr">
        <is>
          <t>NetIncomeLoss</t>
        </is>
      </c>
      <c r="C212" t="inlineStr">
        <is>
          <t>us-gaap</t>
        </is>
      </c>
      <c r="D212" t="inlineStr">
        <is>
          <t>USD</t>
        </is>
      </c>
      <c r="E212" t="inlineStr">
        <is>
          <t>2025-01-01</t>
        </is>
      </c>
      <c r="F212" t="inlineStr">
        <is>
          <t>2025-03-31</t>
        </is>
      </c>
      <c r="G212" t="n">
        <v>-315000000</v>
      </c>
      <c r="H212" t="n">
        <v>2026</v>
      </c>
      <c r="I212" t="inlineStr">
        <is>
          <t>Q1</t>
        </is>
      </c>
      <c r="J212" t="inlineStr">
        <is>
          <t>10-Q</t>
        </is>
      </c>
      <c r="K212" t="inlineStr">
        <is>
          <t>2026-05-08</t>
        </is>
      </c>
      <c r="L212" t="inlineStr">
        <is>
          <t>0001769628-26-000222</t>
        </is>
      </c>
    </row>
    <row r="213">
      <c r="A213" t="inlineStr">
        <is>
          <t>net_income</t>
        </is>
      </c>
      <c r="B213" t="inlineStr">
        <is>
          <t>NetIncomeLoss</t>
        </is>
      </c>
      <c r="C213" t="inlineStr">
        <is>
          <t>us-gaap</t>
        </is>
      </c>
      <c r="D213" t="inlineStr">
        <is>
          <t>USD</t>
        </is>
      </c>
      <c r="E213" t="inlineStr">
        <is>
          <t>2025-01-01</t>
        </is>
      </c>
      <c r="F213" t="inlineStr">
        <is>
          <t>2025-03-31</t>
        </is>
      </c>
      <c r="G213" t="n">
        <v>-315000000</v>
      </c>
      <c r="H213" t="n">
        <v>2026</v>
      </c>
      <c r="I213" t="inlineStr">
        <is>
          <t>Q2</t>
        </is>
      </c>
      <c r="J213" t="inlineStr">
        <is>
          <t>10-Q</t>
        </is>
      </c>
      <c r="K213" t="inlineStr">
        <is>
          <t>2026-08-12</t>
        </is>
      </c>
      <c r="L213" t="inlineStr">
        <is>
          <t>0001769628-26-000366</t>
        </is>
      </c>
      <c r="M213" t="inlineStr">
        <is>
          <t>CY2025Q1</t>
        </is>
      </c>
    </row>
    <row r="214">
      <c r="A214" t="inlineStr">
        <is>
          <t>net_income</t>
        </is>
      </c>
      <c r="B214" t="inlineStr">
        <is>
          <t>NetIncomeLoss</t>
        </is>
      </c>
      <c r="C214" t="inlineStr">
        <is>
          <t>us-gaap</t>
        </is>
      </c>
      <c r="D214" t="inlineStr">
        <is>
          <t>USD</t>
        </is>
      </c>
      <c r="E214" t="inlineStr">
        <is>
          <t>2025-01-01</t>
        </is>
      </c>
      <c r="F214" t="inlineStr">
        <is>
          <t>2025-06-30</t>
        </is>
      </c>
      <c r="G214" t="n">
        <v>-605150000</v>
      </c>
      <c r="H214" t="n">
        <v>2025</v>
      </c>
      <c r="I214" t="inlineStr">
        <is>
          <t>Q2</t>
        </is>
      </c>
      <c r="J214" t="inlineStr">
        <is>
          <t>10-Q</t>
        </is>
      </c>
      <c r="K214" t="inlineStr">
        <is>
          <t>2025-08-13</t>
        </is>
      </c>
      <c r="L214" t="inlineStr">
        <is>
          <t>0001769628-25-000041</t>
        </is>
      </c>
    </row>
    <row r="215">
      <c r="A215" t="inlineStr">
        <is>
          <t>net_income</t>
        </is>
      </c>
      <c r="B215" t="inlineStr">
        <is>
          <t>NetIncomeLoss</t>
        </is>
      </c>
      <c r="C215" t="inlineStr">
        <is>
          <t>us-gaap</t>
        </is>
      </c>
      <c r="D215" t="inlineStr">
        <is>
          <t>USD</t>
        </is>
      </c>
      <c r="E215" t="inlineStr">
        <is>
          <t>2025-04-01</t>
        </is>
      </c>
      <c r="F215" t="inlineStr">
        <is>
          <t>2025-06-30</t>
        </is>
      </c>
      <c r="G215" t="n">
        <v>-290509000</v>
      </c>
      <c r="H215" t="n">
        <v>2025</v>
      </c>
      <c r="I215" t="inlineStr">
        <is>
          <t>Q2</t>
        </is>
      </c>
      <c r="J215" t="inlineStr">
        <is>
          <t>10-Q</t>
        </is>
      </c>
      <c r="K215" t="inlineStr">
        <is>
          <t>2025-08-13</t>
        </is>
      </c>
      <c r="L215" t="inlineStr">
        <is>
          <t>0001769628-25-000041</t>
        </is>
      </c>
    </row>
    <row r="216">
      <c r="A216" t="inlineStr">
        <is>
          <t>net_income</t>
        </is>
      </c>
      <c r="B216" t="inlineStr">
        <is>
          <t>NetIncomeLoss</t>
        </is>
      </c>
      <c r="C216" t="inlineStr">
        <is>
          <t>us-gaap</t>
        </is>
      </c>
      <c r="D216" t="inlineStr">
        <is>
          <t>USD</t>
        </is>
      </c>
      <c r="E216" t="inlineStr">
        <is>
          <t>2025-04-01</t>
        </is>
      </c>
      <c r="F216" t="inlineStr">
        <is>
          <t>2025-06-30</t>
        </is>
      </c>
      <c r="G216" t="n">
        <v>-290509000</v>
      </c>
      <c r="H216" t="n">
        <v>2025</v>
      </c>
      <c r="I216" t="inlineStr">
        <is>
          <t>Q3</t>
        </is>
      </c>
      <c r="J216" t="inlineStr">
        <is>
          <t>10-Q</t>
        </is>
      </c>
      <c r="K216" t="inlineStr">
        <is>
          <t>2025-11-13</t>
        </is>
      </c>
      <c r="L216" t="inlineStr">
        <is>
          <t>0001769628-25-000062</t>
        </is>
      </c>
    </row>
    <row r="217">
      <c r="A217" t="inlineStr">
        <is>
          <t>net_income</t>
        </is>
      </c>
      <c r="B217" t="inlineStr">
        <is>
          <t>NetIncomeLoss</t>
        </is>
      </c>
      <c r="C217" t="inlineStr">
        <is>
          <t>us-gaap</t>
        </is>
      </c>
      <c r="D217" t="inlineStr">
        <is>
          <t>USD</t>
        </is>
      </c>
      <c r="E217" t="inlineStr">
        <is>
          <t>2025-01-01</t>
        </is>
      </c>
      <c r="F217" t="inlineStr">
        <is>
          <t>2025-06-30</t>
        </is>
      </c>
      <c r="G217" t="n">
        <v>-605000000</v>
      </c>
      <c r="H217" t="n">
        <v>2026</v>
      </c>
      <c r="I217" t="inlineStr">
        <is>
          <t>Q2</t>
        </is>
      </c>
      <c r="J217" t="inlineStr">
        <is>
          <t>10-Q</t>
        </is>
      </c>
      <c r="K217" t="inlineStr">
        <is>
          <t>2026-08-12</t>
        </is>
      </c>
      <c r="L217" t="inlineStr">
        <is>
          <t>0001769628-26-000366</t>
        </is>
      </c>
    </row>
    <row r="218">
      <c r="A218" t="inlineStr">
        <is>
          <t>net_income</t>
        </is>
      </c>
      <c r="B218" t="inlineStr">
        <is>
          <t>NetIncomeLoss</t>
        </is>
      </c>
      <c r="C218" t="inlineStr">
        <is>
          <t>us-gaap</t>
        </is>
      </c>
      <c r="D218" t="inlineStr">
        <is>
          <t>USD</t>
        </is>
      </c>
      <c r="E218" t="inlineStr">
        <is>
          <t>2025-04-01</t>
        </is>
      </c>
      <c r="F218" t="inlineStr">
        <is>
          <t>2025-06-30</t>
        </is>
      </c>
      <c r="G218" t="n">
        <v>-290000000</v>
      </c>
      <c r="H218" t="n">
        <v>2026</v>
      </c>
      <c r="I218" t="inlineStr">
        <is>
          <t>Q2</t>
        </is>
      </c>
      <c r="J218" t="inlineStr">
        <is>
          <t>10-Q</t>
        </is>
      </c>
      <c r="K218" t="inlineStr">
        <is>
          <t>2026-08-12</t>
        </is>
      </c>
      <c r="L218" t="inlineStr">
        <is>
          <t>0001769628-26-000366</t>
        </is>
      </c>
      <c r="M218" t="inlineStr">
        <is>
          <t>CY2025Q2</t>
        </is>
      </c>
    </row>
    <row r="219">
      <c r="A219" t="inlineStr">
        <is>
          <t>net_income</t>
        </is>
      </c>
      <c r="B219" t="inlineStr">
        <is>
          <t>NetIncomeLoss</t>
        </is>
      </c>
      <c r="C219" t="inlineStr">
        <is>
          <t>us-gaap</t>
        </is>
      </c>
      <c r="D219" t="inlineStr">
        <is>
          <t>USD</t>
        </is>
      </c>
      <c r="E219" t="inlineStr">
        <is>
          <t>2025-01-01</t>
        </is>
      </c>
      <c r="F219" t="inlineStr">
        <is>
          <t>2025-09-30</t>
        </is>
      </c>
      <c r="G219" t="n">
        <v>-715274000</v>
      </c>
      <c r="H219" t="n">
        <v>2025</v>
      </c>
      <c r="I219" t="inlineStr">
        <is>
          <t>Q3</t>
        </is>
      </c>
      <c r="J219" t="inlineStr">
        <is>
          <t>10-Q</t>
        </is>
      </c>
      <c r="K219" t="inlineStr">
        <is>
          <t>2025-11-13</t>
        </is>
      </c>
      <c r="L219" t="inlineStr">
        <is>
          <t>0001769628-25-000062</t>
        </is>
      </c>
    </row>
    <row r="220">
      <c r="A220" t="inlineStr">
        <is>
          <t>net_income</t>
        </is>
      </c>
      <c r="B220" t="inlineStr">
        <is>
          <t>NetIncomeLoss</t>
        </is>
      </c>
      <c r="C220" t="inlineStr">
        <is>
          <t>us-gaap</t>
        </is>
      </c>
      <c r="D220" t="inlineStr">
        <is>
          <t>USD</t>
        </is>
      </c>
      <c r="E220" t="inlineStr">
        <is>
          <t>2025-07-01</t>
        </is>
      </c>
      <c r="F220" t="inlineStr">
        <is>
          <t>2025-09-30</t>
        </is>
      </c>
      <c r="G220" t="n">
        <v>-110124000</v>
      </c>
      <c r="H220" t="n">
        <v>2025</v>
      </c>
      <c r="I220" t="inlineStr">
        <is>
          <t>Q3</t>
        </is>
      </c>
      <c r="J220" t="inlineStr">
        <is>
          <t>10-Q</t>
        </is>
      </c>
      <c r="K220" t="inlineStr">
        <is>
          <t>2025-11-13</t>
        </is>
      </c>
      <c r="L220" t="inlineStr">
        <is>
          <t>0001769628-25-000062</t>
        </is>
      </c>
      <c r="M220" t="inlineStr">
        <is>
          <t>CY2025Q3</t>
        </is>
      </c>
    </row>
    <row r="221">
      <c r="A221" t="inlineStr">
        <is>
          <t>net_income</t>
        </is>
      </c>
      <c r="B221" t="inlineStr">
        <is>
          <t>NetIncomeLoss</t>
        </is>
      </c>
      <c r="C221" t="inlineStr">
        <is>
          <t>us-gaap</t>
        </is>
      </c>
      <c r="D221" t="inlineStr">
        <is>
          <t>USD</t>
        </is>
      </c>
      <c r="E221" t="inlineStr">
        <is>
          <t>2025-01-01</t>
        </is>
      </c>
      <c r="F221" t="inlineStr">
        <is>
          <t>2025-12-31</t>
        </is>
      </c>
      <c r="G221" t="n">
        <v>-1167000000</v>
      </c>
      <c r="H221" t="n">
        <v>2025</v>
      </c>
      <c r="I221" t="inlineStr">
        <is>
          <t>FY</t>
        </is>
      </c>
      <c r="J221" t="inlineStr">
        <is>
          <t>10-K</t>
        </is>
      </c>
      <c r="K221" t="inlineStr">
        <is>
          <t>2026-03-02</t>
        </is>
      </c>
      <c r="L221" t="inlineStr">
        <is>
          <t>0001769628-26-000104</t>
        </is>
      </c>
    </row>
    <row r="222">
      <c r="A222" t="inlineStr">
        <is>
          <t>net_income</t>
        </is>
      </c>
      <c r="B222" t="inlineStr">
        <is>
          <t>NetIncomeLoss</t>
        </is>
      </c>
      <c r="C222" t="inlineStr">
        <is>
          <t>us-gaap</t>
        </is>
      </c>
      <c r="D222" t="inlineStr">
        <is>
          <t>USD</t>
        </is>
      </c>
      <c r="E222" t="inlineStr">
        <is>
          <t>2025-01-01</t>
        </is>
      </c>
      <c r="F222" t="inlineStr">
        <is>
          <t>2025-12-31</t>
        </is>
      </c>
      <c r="G222" t="n">
        <v>-1168000000</v>
      </c>
      <c r="J222" t="inlineStr">
        <is>
          <t>DEF 14A</t>
        </is>
      </c>
      <c r="K222" t="inlineStr">
        <is>
          <t>2026-04-22</t>
        </is>
      </c>
      <c r="L222" t="inlineStr">
        <is>
          <t>0001769628-26-000191</t>
        </is>
      </c>
      <c r="M222" t="inlineStr">
        <is>
          <t>CY2025</t>
        </is>
      </c>
    </row>
    <row r="223">
      <c r="A223" t="inlineStr">
        <is>
          <t>net_income</t>
        </is>
      </c>
      <c r="B223" t="inlineStr">
        <is>
          <t>NetIncomeLoss</t>
        </is>
      </c>
      <c r="C223" t="inlineStr">
        <is>
          <t>us-gaap</t>
        </is>
      </c>
      <c r="D223" t="inlineStr">
        <is>
          <t>USD</t>
        </is>
      </c>
      <c r="E223" t="inlineStr">
        <is>
          <t>2026-01-01</t>
        </is>
      </c>
      <c r="F223" t="inlineStr">
        <is>
          <t>2026-03-31</t>
        </is>
      </c>
      <c r="G223" t="n">
        <v>-740000000</v>
      </c>
      <c r="H223" t="n">
        <v>2026</v>
      </c>
      <c r="I223" t="inlineStr">
        <is>
          <t>Q1</t>
        </is>
      </c>
      <c r="J223" t="inlineStr">
        <is>
          <t>10-Q</t>
        </is>
      </c>
      <c r="K223" t="inlineStr">
        <is>
          <t>2026-05-08</t>
        </is>
      </c>
      <c r="L223" t="inlineStr">
        <is>
          <t>0001769628-26-000222</t>
        </is>
      </c>
    </row>
    <row r="224">
      <c r="A224" t="inlineStr">
        <is>
          <t>net_income</t>
        </is>
      </c>
      <c r="B224" t="inlineStr">
        <is>
          <t>NetIncomeLoss</t>
        </is>
      </c>
      <c r="C224" t="inlineStr">
        <is>
          <t>us-gaap</t>
        </is>
      </c>
      <c r="D224" t="inlineStr">
        <is>
          <t>USD</t>
        </is>
      </c>
      <c r="E224" t="inlineStr">
        <is>
          <t>2026-01-01</t>
        </is>
      </c>
      <c r="F224" t="inlineStr">
        <is>
          <t>2026-03-31</t>
        </is>
      </c>
      <c r="G224" t="n">
        <v>-740000000</v>
      </c>
      <c r="H224" t="n">
        <v>2026</v>
      </c>
      <c r="I224" t="inlineStr">
        <is>
          <t>Q2</t>
        </is>
      </c>
      <c r="J224" t="inlineStr">
        <is>
          <t>10-Q</t>
        </is>
      </c>
      <c r="K224" t="inlineStr">
        <is>
          <t>2026-08-12</t>
        </is>
      </c>
      <c r="L224" t="inlineStr">
        <is>
          <t>0001769628-26-000366</t>
        </is>
      </c>
      <c r="M224" t="inlineStr">
        <is>
          <t>CY2026Q1</t>
        </is>
      </c>
    </row>
    <row r="225">
      <c r="A225" t="inlineStr">
        <is>
          <t>net_income</t>
        </is>
      </c>
      <c r="B225" t="inlineStr">
        <is>
          <t>NetIncomeLoss</t>
        </is>
      </c>
      <c r="C225" t="inlineStr">
        <is>
          <t>us-gaap</t>
        </is>
      </c>
      <c r="D225" t="inlineStr">
        <is>
          <t>USD</t>
        </is>
      </c>
      <c r="E225" t="inlineStr">
        <is>
          <t>2026-01-01</t>
        </is>
      </c>
      <c r="F225" t="inlineStr">
        <is>
          <t>2026-06-30</t>
        </is>
      </c>
      <c r="G225" t="n">
        <v>-1366000000</v>
      </c>
      <c r="H225" t="n">
        <v>2026</v>
      </c>
      <c r="I225" t="inlineStr">
        <is>
          <t>Q2</t>
        </is>
      </c>
      <c r="J225" t="inlineStr">
        <is>
          <t>10-Q</t>
        </is>
      </c>
      <c r="K225" t="inlineStr">
        <is>
          <t>2026-08-12</t>
        </is>
      </c>
      <c r="L225" t="inlineStr">
        <is>
          <t>0001769628-26-000366</t>
        </is>
      </c>
    </row>
    <row r="226">
      <c r="A226" t="inlineStr">
        <is>
          <t>net_income</t>
        </is>
      </c>
      <c r="B226" t="inlineStr">
        <is>
          <t>NetIncomeLoss</t>
        </is>
      </c>
      <c r="C226" t="inlineStr">
        <is>
          <t>us-gaap</t>
        </is>
      </c>
      <c r="D226" t="inlineStr">
        <is>
          <t>USD</t>
        </is>
      </c>
      <c r="E226" t="inlineStr">
        <is>
          <t>2026-04-01</t>
        </is>
      </c>
      <c r="F226" t="inlineStr">
        <is>
          <t>2026-06-30</t>
        </is>
      </c>
      <c r="G226" t="n">
        <v>-626000000</v>
      </c>
      <c r="H226" t="n">
        <v>2026</v>
      </c>
      <c r="I226" t="inlineStr">
        <is>
          <t>Q2</t>
        </is>
      </c>
      <c r="J226" t="inlineStr">
        <is>
          <t>10-Q</t>
        </is>
      </c>
      <c r="K226" t="inlineStr">
        <is>
          <t>2026-08-12</t>
        </is>
      </c>
      <c r="L226" t="inlineStr">
        <is>
          <t>0001769628-26-000366</t>
        </is>
      </c>
      <c r="M226" t="inlineStr">
        <is>
          <t>CY2026Q2</t>
        </is>
      </c>
    </row>
    <row r="227">
      <c r="A227" t="inlineStr">
        <is>
          <t>operating_income</t>
        </is>
      </c>
      <c r="B227" t="inlineStr">
        <is>
          <t>OperatingIncomeLoss</t>
        </is>
      </c>
      <c r="C227" t="inlineStr">
        <is>
          <t>us-gaap</t>
        </is>
      </c>
      <c r="D227" t="inlineStr">
        <is>
          <t>USD</t>
        </is>
      </c>
      <c r="E227" t="inlineStr">
        <is>
          <t>2023-01-01</t>
        </is>
      </c>
      <c r="F227" t="inlineStr">
        <is>
          <t>2023-12-31</t>
        </is>
      </c>
      <c r="G227" t="n">
        <v>-14000000</v>
      </c>
      <c r="H227" t="n">
        <v>2025</v>
      </c>
      <c r="I227" t="inlineStr">
        <is>
          <t>FY</t>
        </is>
      </c>
      <c r="J227" t="inlineStr">
        <is>
          <t>10-K</t>
        </is>
      </c>
      <c r="K227" t="inlineStr">
        <is>
          <t>2026-03-02</t>
        </is>
      </c>
      <c r="L227" t="inlineStr">
        <is>
          <t>0001769628-26-000104</t>
        </is>
      </c>
      <c r="M227" t="inlineStr">
        <is>
          <t>CY2023</t>
        </is>
      </c>
    </row>
    <row r="228">
      <c r="A228" t="inlineStr">
        <is>
          <t>operating_income</t>
        </is>
      </c>
      <c r="B228" t="inlineStr">
        <is>
          <t>OperatingIncomeLoss</t>
        </is>
      </c>
      <c r="C228" t="inlineStr">
        <is>
          <t>us-gaap</t>
        </is>
      </c>
      <c r="D228" t="inlineStr">
        <is>
          <t>USD</t>
        </is>
      </c>
      <c r="E228" t="inlineStr">
        <is>
          <t>2024-01-01</t>
        </is>
      </c>
      <c r="F228" t="inlineStr">
        <is>
          <t>2024-03-31</t>
        </is>
      </c>
      <c r="G228" t="n">
        <v>16847000</v>
      </c>
      <c r="H228" t="n">
        <v>2025</v>
      </c>
      <c r="I228" t="inlineStr">
        <is>
          <t>Q1</t>
        </is>
      </c>
      <c r="J228" t="inlineStr">
        <is>
          <t>10-Q</t>
        </is>
      </c>
      <c r="K228" t="inlineStr">
        <is>
          <t>2025-05-15</t>
        </is>
      </c>
      <c r="L228" t="inlineStr">
        <is>
          <t>0001769628-25-000014</t>
        </is>
      </c>
      <c r="M228" t="inlineStr">
        <is>
          <t>CY2024Q1</t>
        </is>
      </c>
    </row>
    <row r="229">
      <c r="A229" t="inlineStr">
        <is>
          <t>operating_income</t>
        </is>
      </c>
      <c r="B229" t="inlineStr">
        <is>
          <t>OperatingIncomeLoss</t>
        </is>
      </c>
      <c r="C229" t="inlineStr">
        <is>
          <t>us-gaap</t>
        </is>
      </c>
      <c r="D229" t="inlineStr">
        <is>
          <t>USD</t>
        </is>
      </c>
      <c r="E229" t="inlineStr">
        <is>
          <t>2024-01-01</t>
        </is>
      </c>
      <c r="F229" t="inlineStr">
        <is>
          <t>2024-06-30</t>
        </is>
      </c>
      <c r="G229" t="n">
        <v>94568000</v>
      </c>
      <c r="H229" t="n">
        <v>2025</v>
      </c>
      <c r="I229" t="inlineStr">
        <is>
          <t>Q2</t>
        </is>
      </c>
      <c r="J229" t="inlineStr">
        <is>
          <t>10-Q</t>
        </is>
      </c>
      <c r="K229" t="inlineStr">
        <is>
          <t>2025-08-13</t>
        </is>
      </c>
      <c r="L229" t="inlineStr">
        <is>
          <t>0001769628-25-000041</t>
        </is>
      </c>
    </row>
    <row r="230">
      <c r="A230" t="inlineStr">
        <is>
          <t>operating_income</t>
        </is>
      </c>
      <c r="B230" t="inlineStr">
        <is>
          <t>OperatingIncomeLoss</t>
        </is>
      </c>
      <c r="C230" t="inlineStr">
        <is>
          <t>us-gaap</t>
        </is>
      </c>
      <c r="D230" t="inlineStr">
        <is>
          <t>USD</t>
        </is>
      </c>
      <c r="E230" t="inlineStr">
        <is>
          <t>2024-04-01</t>
        </is>
      </c>
      <c r="F230" t="inlineStr">
        <is>
          <t>2024-06-30</t>
        </is>
      </c>
      <c r="G230" t="n">
        <v>77721000</v>
      </c>
      <c r="H230" t="n">
        <v>2025</v>
      </c>
      <c r="I230" t="inlineStr">
        <is>
          <t>Q2</t>
        </is>
      </c>
      <c r="J230" t="inlineStr">
        <is>
          <t>10-Q</t>
        </is>
      </c>
      <c r="K230" t="inlineStr">
        <is>
          <t>2025-08-13</t>
        </is>
      </c>
      <c r="L230" t="inlineStr">
        <is>
          <t>0001769628-25-000041</t>
        </is>
      </c>
      <c r="M230" t="inlineStr">
        <is>
          <t>CY2024Q2</t>
        </is>
      </c>
    </row>
    <row r="231">
      <c r="A231" t="inlineStr">
        <is>
          <t>operating_income</t>
        </is>
      </c>
      <c r="B231" t="inlineStr">
        <is>
          <t>OperatingIncomeLoss</t>
        </is>
      </c>
      <c r="C231" t="inlineStr">
        <is>
          <t>us-gaap</t>
        </is>
      </c>
      <c r="D231" t="inlineStr">
        <is>
          <t>USD</t>
        </is>
      </c>
      <c r="E231" t="inlineStr">
        <is>
          <t>2024-01-01</t>
        </is>
      </c>
      <c r="F231" t="inlineStr">
        <is>
          <t>2024-09-30</t>
        </is>
      </c>
      <c r="G231" t="n">
        <v>211684000</v>
      </c>
      <c r="H231" t="n">
        <v>2025</v>
      </c>
      <c r="I231" t="inlineStr">
        <is>
          <t>Q3</t>
        </is>
      </c>
      <c r="J231" t="inlineStr">
        <is>
          <t>10-Q</t>
        </is>
      </c>
      <c r="K231" t="inlineStr">
        <is>
          <t>2025-11-13</t>
        </is>
      </c>
      <c r="L231" t="inlineStr">
        <is>
          <t>0001769628-25-000062</t>
        </is>
      </c>
    </row>
    <row r="232">
      <c r="A232" t="inlineStr">
        <is>
          <t>operating_income</t>
        </is>
      </c>
      <c r="B232" t="inlineStr">
        <is>
          <t>OperatingIncomeLoss</t>
        </is>
      </c>
      <c r="C232" t="inlineStr">
        <is>
          <t>us-gaap</t>
        </is>
      </c>
      <c r="D232" t="inlineStr">
        <is>
          <t>USD</t>
        </is>
      </c>
      <c r="E232" t="inlineStr">
        <is>
          <t>2024-07-01</t>
        </is>
      </c>
      <c r="F232" t="inlineStr">
        <is>
          <t>2024-09-30</t>
        </is>
      </c>
      <c r="G232" t="n">
        <v>117116000</v>
      </c>
      <c r="H232" t="n">
        <v>2025</v>
      </c>
      <c r="I232" t="inlineStr">
        <is>
          <t>Q3</t>
        </is>
      </c>
      <c r="J232" t="inlineStr">
        <is>
          <t>10-Q</t>
        </is>
      </c>
      <c r="K232" t="inlineStr">
        <is>
          <t>2025-11-13</t>
        </is>
      </c>
      <c r="L232" t="inlineStr">
        <is>
          <t>0001769628-25-000062</t>
        </is>
      </c>
      <c r="M232" t="inlineStr">
        <is>
          <t>CY2024Q3</t>
        </is>
      </c>
    </row>
    <row r="233">
      <c r="A233" t="inlineStr">
        <is>
          <t>operating_income</t>
        </is>
      </c>
      <c r="B233" t="inlineStr">
        <is>
          <t>OperatingIncomeLoss</t>
        </is>
      </c>
      <c r="C233" t="inlineStr">
        <is>
          <t>us-gaap</t>
        </is>
      </c>
      <c r="D233" t="inlineStr">
        <is>
          <t>USD</t>
        </is>
      </c>
      <c r="E233" t="inlineStr">
        <is>
          <t>2024-01-01</t>
        </is>
      </c>
      <c r="F233" t="inlineStr">
        <is>
          <t>2024-12-31</t>
        </is>
      </c>
      <c r="G233" t="n">
        <v>324000000</v>
      </c>
      <c r="H233" t="n">
        <v>2025</v>
      </c>
      <c r="I233" t="inlineStr">
        <is>
          <t>FY</t>
        </is>
      </c>
      <c r="J233" t="inlineStr">
        <is>
          <t>10-K</t>
        </is>
      </c>
      <c r="K233" t="inlineStr">
        <is>
          <t>2026-03-02</t>
        </is>
      </c>
      <c r="L233" t="inlineStr">
        <is>
          <t>0001769628-26-000104</t>
        </is>
      </c>
      <c r="M233" t="inlineStr">
        <is>
          <t>CY2024</t>
        </is>
      </c>
    </row>
    <row r="234">
      <c r="A234" t="inlineStr">
        <is>
          <t>operating_income</t>
        </is>
      </c>
      <c r="B234" t="inlineStr">
        <is>
          <t>OperatingIncomeLoss</t>
        </is>
      </c>
      <c r="C234" t="inlineStr">
        <is>
          <t>us-gaap</t>
        </is>
      </c>
      <c r="D234" t="inlineStr">
        <is>
          <t>USD</t>
        </is>
      </c>
      <c r="E234" t="inlineStr">
        <is>
          <t>2025-01-01</t>
        </is>
      </c>
      <c r="F234" t="inlineStr">
        <is>
          <t>2025-03-31</t>
        </is>
      </c>
      <c r="G234" t="n">
        <v>-27470000</v>
      </c>
      <c r="H234" t="n">
        <v>2025</v>
      </c>
      <c r="I234" t="inlineStr">
        <is>
          <t>Q1</t>
        </is>
      </c>
      <c r="J234" t="inlineStr">
        <is>
          <t>10-Q</t>
        </is>
      </c>
      <c r="K234" t="inlineStr">
        <is>
          <t>2025-05-15</t>
        </is>
      </c>
      <c r="L234" t="inlineStr">
        <is>
          <t>0001769628-25-000014</t>
        </is>
      </c>
    </row>
    <row r="235">
      <c r="A235" t="inlineStr">
        <is>
          <t>operating_income</t>
        </is>
      </c>
      <c r="B235" t="inlineStr">
        <is>
          <t>OperatingIncomeLoss</t>
        </is>
      </c>
      <c r="C235" t="inlineStr">
        <is>
          <t>us-gaap</t>
        </is>
      </c>
      <c r="D235" t="inlineStr">
        <is>
          <t>USD</t>
        </is>
      </c>
      <c r="E235" t="inlineStr">
        <is>
          <t>2025-01-01</t>
        </is>
      </c>
      <c r="F235" t="inlineStr">
        <is>
          <t>2025-03-31</t>
        </is>
      </c>
      <c r="G235" t="n">
        <v>-27000000</v>
      </c>
      <c r="H235" t="n">
        <v>2026</v>
      </c>
      <c r="I235" t="inlineStr">
        <is>
          <t>Q1</t>
        </is>
      </c>
      <c r="J235" t="inlineStr">
        <is>
          <t>10-Q</t>
        </is>
      </c>
      <c r="K235" t="inlineStr">
        <is>
          <t>2026-05-08</t>
        </is>
      </c>
      <c r="L235" t="inlineStr">
        <is>
          <t>0001769628-26-000222</t>
        </is>
      </c>
      <c r="M235" t="inlineStr">
        <is>
          <t>CY2025Q1</t>
        </is>
      </c>
    </row>
    <row r="236">
      <c r="A236" t="inlineStr">
        <is>
          <t>operating_income</t>
        </is>
      </c>
      <c r="B236" t="inlineStr">
        <is>
          <t>OperatingIncomeLoss</t>
        </is>
      </c>
      <c r="C236" t="inlineStr">
        <is>
          <t>us-gaap</t>
        </is>
      </c>
      <c r="D236" t="inlineStr">
        <is>
          <t>USD</t>
        </is>
      </c>
      <c r="E236" t="inlineStr">
        <is>
          <t>2025-01-01</t>
        </is>
      </c>
      <c r="F236" t="inlineStr">
        <is>
          <t>2025-06-30</t>
        </is>
      </c>
      <c r="G236" t="n">
        <v>-8261000</v>
      </c>
      <c r="H236" t="n">
        <v>2025</v>
      </c>
      <c r="I236" t="inlineStr">
        <is>
          <t>Q2</t>
        </is>
      </c>
      <c r="J236" t="inlineStr">
        <is>
          <t>10-Q</t>
        </is>
      </c>
      <c r="K236" t="inlineStr">
        <is>
          <t>2025-08-13</t>
        </is>
      </c>
      <c r="L236" t="inlineStr">
        <is>
          <t>0001769628-25-000041</t>
        </is>
      </c>
    </row>
    <row r="237">
      <c r="A237" t="inlineStr">
        <is>
          <t>operating_income</t>
        </is>
      </c>
      <c r="B237" t="inlineStr">
        <is>
          <t>OperatingIncomeLoss</t>
        </is>
      </c>
      <c r="C237" t="inlineStr">
        <is>
          <t>us-gaap</t>
        </is>
      </c>
      <c r="D237" t="inlineStr">
        <is>
          <t>USD</t>
        </is>
      </c>
      <c r="E237" t="inlineStr">
        <is>
          <t>2025-04-01</t>
        </is>
      </c>
      <c r="F237" t="inlineStr">
        <is>
          <t>2025-06-30</t>
        </is>
      </c>
      <c r="G237" t="n">
        <v>19209000</v>
      </c>
      <c r="H237" t="n">
        <v>2025</v>
      </c>
      <c r="I237" t="inlineStr">
        <is>
          <t>Q2</t>
        </is>
      </c>
      <c r="J237" t="inlineStr">
        <is>
          <t>10-Q</t>
        </is>
      </c>
      <c r="K237" t="inlineStr">
        <is>
          <t>2025-08-13</t>
        </is>
      </c>
      <c r="L237" t="inlineStr">
        <is>
          <t>0001769628-25-000041</t>
        </is>
      </c>
    </row>
    <row r="238">
      <c r="A238" t="inlineStr">
        <is>
          <t>operating_income</t>
        </is>
      </c>
      <c r="B238" t="inlineStr">
        <is>
          <t>OperatingIncomeLoss</t>
        </is>
      </c>
      <c r="C238" t="inlineStr">
        <is>
          <t>us-gaap</t>
        </is>
      </c>
      <c r="D238" t="inlineStr">
        <is>
          <t>USD</t>
        </is>
      </c>
      <c r="E238" t="inlineStr">
        <is>
          <t>2025-01-01</t>
        </is>
      </c>
      <c r="F238" t="inlineStr">
        <is>
          <t>2025-06-30</t>
        </is>
      </c>
      <c r="G238" t="n">
        <v>-8000000</v>
      </c>
      <c r="H238" t="n">
        <v>2026</v>
      </c>
      <c r="I238" t="inlineStr">
        <is>
          <t>Q2</t>
        </is>
      </c>
      <c r="J238" t="inlineStr">
        <is>
          <t>10-Q</t>
        </is>
      </c>
      <c r="K238" t="inlineStr">
        <is>
          <t>2026-08-12</t>
        </is>
      </c>
      <c r="L238" t="inlineStr">
        <is>
          <t>0001769628-26-000366</t>
        </is>
      </c>
    </row>
    <row r="239">
      <c r="A239" t="inlineStr">
        <is>
          <t>operating_income</t>
        </is>
      </c>
      <c r="B239" t="inlineStr">
        <is>
          <t>OperatingIncomeLoss</t>
        </is>
      </c>
      <c r="C239" t="inlineStr">
        <is>
          <t>us-gaap</t>
        </is>
      </c>
      <c r="D239" t="inlineStr">
        <is>
          <t>USD</t>
        </is>
      </c>
      <c r="E239" t="inlineStr">
        <is>
          <t>2025-04-01</t>
        </is>
      </c>
      <c r="F239" t="inlineStr">
        <is>
          <t>2025-06-30</t>
        </is>
      </c>
      <c r="G239" t="n">
        <v>19000000</v>
      </c>
      <c r="H239" t="n">
        <v>2026</v>
      </c>
      <c r="I239" t="inlineStr">
        <is>
          <t>Q2</t>
        </is>
      </c>
      <c r="J239" t="inlineStr">
        <is>
          <t>10-Q</t>
        </is>
      </c>
      <c r="K239" t="inlineStr">
        <is>
          <t>2026-08-12</t>
        </is>
      </c>
      <c r="L239" t="inlineStr">
        <is>
          <t>0001769628-26-000366</t>
        </is>
      </c>
      <c r="M239" t="inlineStr">
        <is>
          <t>CY2025Q2</t>
        </is>
      </c>
    </row>
    <row r="240">
      <c r="A240" t="inlineStr">
        <is>
          <t>operating_income</t>
        </is>
      </c>
      <c r="B240" t="inlineStr">
        <is>
          <t>OperatingIncomeLoss</t>
        </is>
      </c>
      <c r="C240" t="inlineStr">
        <is>
          <t>us-gaap</t>
        </is>
      </c>
      <c r="D240" t="inlineStr">
        <is>
          <t>USD</t>
        </is>
      </c>
      <c r="E240" t="inlineStr">
        <is>
          <t>2025-01-01</t>
        </is>
      </c>
      <c r="F240" t="inlineStr">
        <is>
          <t>2025-09-30</t>
        </is>
      </c>
      <c r="G240" t="n">
        <v>43589000</v>
      </c>
      <c r="H240" t="n">
        <v>2025</v>
      </c>
      <c r="I240" t="inlineStr">
        <is>
          <t>Q3</t>
        </is>
      </c>
      <c r="J240" t="inlineStr">
        <is>
          <t>10-Q</t>
        </is>
      </c>
      <c r="K240" t="inlineStr">
        <is>
          <t>2025-11-13</t>
        </is>
      </c>
      <c r="L240" t="inlineStr">
        <is>
          <t>0001769628-25-000062</t>
        </is>
      </c>
    </row>
    <row r="241">
      <c r="A241" t="inlineStr">
        <is>
          <t>operating_income</t>
        </is>
      </c>
      <c r="B241" t="inlineStr">
        <is>
          <t>OperatingIncomeLoss</t>
        </is>
      </c>
      <c r="C241" t="inlineStr">
        <is>
          <t>us-gaap</t>
        </is>
      </c>
      <c r="D241" t="inlineStr">
        <is>
          <t>USD</t>
        </is>
      </c>
      <c r="E241" t="inlineStr">
        <is>
          <t>2025-07-01</t>
        </is>
      </c>
      <c r="F241" t="inlineStr">
        <is>
          <t>2025-09-30</t>
        </is>
      </c>
      <c r="G241" t="n">
        <v>51850000</v>
      </c>
      <c r="H241" t="n">
        <v>2025</v>
      </c>
      <c r="I241" t="inlineStr">
        <is>
          <t>Q3</t>
        </is>
      </c>
      <c r="J241" t="inlineStr">
        <is>
          <t>10-Q</t>
        </is>
      </c>
      <c r="K241" t="inlineStr">
        <is>
          <t>2025-11-13</t>
        </is>
      </c>
      <c r="L241" t="inlineStr">
        <is>
          <t>0001769628-25-000062</t>
        </is>
      </c>
      <c r="M241" t="inlineStr">
        <is>
          <t>CY2025Q3</t>
        </is>
      </c>
    </row>
    <row r="242">
      <c r="A242" t="inlineStr">
        <is>
          <t>operating_income</t>
        </is>
      </c>
      <c r="B242" t="inlineStr">
        <is>
          <t>OperatingIncomeLoss</t>
        </is>
      </c>
      <c r="C242" t="inlineStr">
        <is>
          <t>us-gaap</t>
        </is>
      </c>
      <c r="D242" t="inlineStr">
        <is>
          <t>USD</t>
        </is>
      </c>
      <c r="E242" t="inlineStr">
        <is>
          <t>2025-01-01</t>
        </is>
      </c>
      <c r="F242" t="inlineStr">
        <is>
          <t>2025-12-31</t>
        </is>
      </c>
      <c r="G242" t="n">
        <v>-46000000</v>
      </c>
      <c r="H242" t="n">
        <v>2025</v>
      </c>
      <c r="I242" t="inlineStr">
        <is>
          <t>FY</t>
        </is>
      </c>
      <c r="J242" t="inlineStr">
        <is>
          <t>10-K</t>
        </is>
      </c>
      <c r="K242" t="inlineStr">
        <is>
          <t>2026-03-02</t>
        </is>
      </c>
      <c r="L242" t="inlineStr">
        <is>
          <t>0001769628-26-000104</t>
        </is>
      </c>
      <c r="M242" t="inlineStr">
        <is>
          <t>CY2025</t>
        </is>
      </c>
    </row>
    <row r="243">
      <c r="A243" t="inlineStr">
        <is>
          <t>operating_income</t>
        </is>
      </c>
      <c r="B243" t="inlineStr">
        <is>
          <t>OperatingIncomeLoss</t>
        </is>
      </c>
      <c r="C243" t="inlineStr">
        <is>
          <t>us-gaap</t>
        </is>
      </c>
      <c r="D243" t="inlineStr">
        <is>
          <t>USD</t>
        </is>
      </c>
      <c r="E243" t="inlineStr">
        <is>
          <t>2026-01-01</t>
        </is>
      </c>
      <c r="F243" t="inlineStr">
        <is>
          <t>2026-03-31</t>
        </is>
      </c>
      <c r="G243" t="n">
        <v>-144000000</v>
      </c>
      <c r="H243" t="n">
        <v>2026</v>
      </c>
      <c r="I243" t="inlineStr">
        <is>
          <t>Q1</t>
        </is>
      </c>
      <c r="J243" t="inlineStr">
        <is>
          <t>10-Q</t>
        </is>
      </c>
      <c r="K243" t="inlineStr">
        <is>
          <t>2026-05-08</t>
        </is>
      </c>
      <c r="L243" t="inlineStr">
        <is>
          <t>0001769628-26-000222</t>
        </is>
      </c>
      <c r="M243" t="inlineStr">
        <is>
          <t>CY2026Q1</t>
        </is>
      </c>
    </row>
    <row r="244">
      <c r="A244" t="inlineStr">
        <is>
          <t>operating_income</t>
        </is>
      </c>
      <c r="B244" t="inlineStr">
        <is>
          <t>OperatingIncomeLoss</t>
        </is>
      </c>
      <c r="C244" t="inlineStr">
        <is>
          <t>us-gaap</t>
        </is>
      </c>
      <c r="D244" t="inlineStr">
        <is>
          <t>USD</t>
        </is>
      </c>
      <c r="E244" t="inlineStr">
        <is>
          <t>2026-01-01</t>
        </is>
      </c>
      <c r="F244" t="inlineStr">
        <is>
          <t>2026-06-30</t>
        </is>
      </c>
      <c r="G244" t="n">
        <v>-193000000</v>
      </c>
      <c r="H244" t="n">
        <v>2026</v>
      </c>
      <c r="I244" t="inlineStr">
        <is>
          <t>Q2</t>
        </is>
      </c>
      <c r="J244" t="inlineStr">
        <is>
          <t>10-Q</t>
        </is>
      </c>
      <c r="K244" t="inlineStr">
        <is>
          <t>2026-08-12</t>
        </is>
      </c>
      <c r="L244" t="inlineStr">
        <is>
          <t>0001769628-26-000366</t>
        </is>
      </c>
    </row>
    <row r="245">
      <c r="A245" t="inlineStr">
        <is>
          <t>operating_income</t>
        </is>
      </c>
      <c r="B245" t="inlineStr">
        <is>
          <t>OperatingIncomeLoss</t>
        </is>
      </c>
      <c r="C245" t="inlineStr">
        <is>
          <t>us-gaap</t>
        </is>
      </c>
      <c r="D245" t="inlineStr">
        <is>
          <t>USD</t>
        </is>
      </c>
      <c r="E245" t="inlineStr">
        <is>
          <t>2026-04-01</t>
        </is>
      </c>
      <c r="F245" t="inlineStr">
        <is>
          <t>2026-06-30</t>
        </is>
      </c>
      <c r="G245" t="n">
        <v>-49000000</v>
      </c>
      <c r="H245" t="n">
        <v>2026</v>
      </c>
      <c r="I245" t="inlineStr">
        <is>
          <t>Q2</t>
        </is>
      </c>
      <c r="J245" t="inlineStr">
        <is>
          <t>10-Q</t>
        </is>
      </c>
      <c r="K245" t="inlineStr">
        <is>
          <t>2026-08-12</t>
        </is>
      </c>
      <c r="L245" t="inlineStr">
        <is>
          <t>0001769628-26-000366</t>
        </is>
      </c>
      <c r="M245" t="inlineStr">
        <is>
          <t>CY2026Q2</t>
        </is>
      </c>
    </row>
    <row r="246">
      <c r="A246" t="inlineStr">
        <is>
          <t>ppe_net</t>
        </is>
      </c>
      <c r="B246" t="inlineStr">
        <is>
          <t>PropertyPlantAndEquipmentNet</t>
        </is>
      </c>
      <c r="C246" t="inlineStr">
        <is>
          <t>us-gaap</t>
        </is>
      </c>
      <c r="D246" t="inlineStr">
        <is>
          <t>USD</t>
        </is>
      </c>
      <c r="F246" t="inlineStr">
        <is>
          <t>2024-12-31</t>
        </is>
      </c>
      <c r="G246" t="n">
        <v>11914774000</v>
      </c>
      <c r="H246" t="n">
        <v>2025</v>
      </c>
      <c r="I246" t="inlineStr">
        <is>
          <t>Q1</t>
        </is>
      </c>
      <c r="J246" t="inlineStr">
        <is>
          <t>10-Q</t>
        </is>
      </c>
      <c r="K246" t="inlineStr">
        <is>
          <t>2025-05-15</t>
        </is>
      </c>
      <c r="L246" t="inlineStr">
        <is>
          <t>0001769628-25-000014</t>
        </is>
      </c>
    </row>
    <row r="247">
      <c r="A247" t="inlineStr">
        <is>
          <t>ppe_net</t>
        </is>
      </c>
      <c r="B247" t="inlineStr">
        <is>
          <t>PropertyPlantAndEquipmentNet</t>
        </is>
      </c>
      <c r="C247" t="inlineStr">
        <is>
          <t>us-gaap</t>
        </is>
      </c>
      <c r="D247" t="inlineStr">
        <is>
          <t>USD</t>
        </is>
      </c>
      <c r="F247" t="inlineStr">
        <is>
          <t>2024-12-31</t>
        </is>
      </c>
      <c r="G247" t="n">
        <v>11914774000</v>
      </c>
      <c r="H247" t="n">
        <v>2025</v>
      </c>
      <c r="I247" t="inlineStr">
        <is>
          <t>Q2</t>
        </is>
      </c>
      <c r="J247" t="inlineStr">
        <is>
          <t>10-Q</t>
        </is>
      </c>
      <c r="K247" t="inlineStr">
        <is>
          <t>2025-08-13</t>
        </is>
      </c>
      <c r="L247" t="inlineStr">
        <is>
          <t>0001769628-25-000041</t>
        </is>
      </c>
    </row>
    <row r="248">
      <c r="A248" t="inlineStr">
        <is>
          <t>ppe_net</t>
        </is>
      </c>
      <c r="B248" t="inlineStr">
        <is>
          <t>PropertyPlantAndEquipmentNet</t>
        </is>
      </c>
      <c r="C248" t="inlineStr">
        <is>
          <t>us-gaap</t>
        </is>
      </c>
      <c r="D248" t="inlineStr">
        <is>
          <t>USD</t>
        </is>
      </c>
      <c r="F248" t="inlineStr">
        <is>
          <t>2024-12-31</t>
        </is>
      </c>
      <c r="G248" t="n">
        <v>11914774000</v>
      </c>
      <c r="H248" t="n">
        <v>2025</v>
      </c>
      <c r="I248" t="inlineStr">
        <is>
          <t>Q3</t>
        </is>
      </c>
      <c r="J248" t="inlineStr">
        <is>
          <t>10-Q</t>
        </is>
      </c>
      <c r="K248" t="inlineStr">
        <is>
          <t>2025-11-13</t>
        </is>
      </c>
      <c r="L248" t="inlineStr">
        <is>
          <t>0001769628-25-000062</t>
        </is>
      </c>
    </row>
    <row r="249">
      <c r="A249" t="inlineStr">
        <is>
          <t>ppe_net</t>
        </is>
      </c>
      <c r="B249" t="inlineStr">
        <is>
          <t>PropertyPlantAndEquipmentNet</t>
        </is>
      </c>
      <c r="C249" t="inlineStr">
        <is>
          <t>us-gaap</t>
        </is>
      </c>
      <c r="D249" t="inlineStr">
        <is>
          <t>USD</t>
        </is>
      </c>
      <c r="F249" t="inlineStr">
        <is>
          <t>2024-12-31</t>
        </is>
      </c>
      <c r="G249" t="n">
        <v>11915000000</v>
      </c>
      <c r="H249" t="n">
        <v>2025</v>
      </c>
      <c r="I249" t="inlineStr">
        <is>
          <t>FY</t>
        </is>
      </c>
      <c r="J249" t="inlineStr">
        <is>
          <t>10-K</t>
        </is>
      </c>
      <c r="K249" t="inlineStr">
        <is>
          <t>2026-03-02</t>
        </is>
      </c>
      <c r="L249" t="inlineStr">
        <is>
          <t>0001769628-26-000104</t>
        </is>
      </c>
      <c r="M249" t="inlineStr">
        <is>
          <t>CY2024Q4I</t>
        </is>
      </c>
    </row>
    <row r="250">
      <c r="A250" t="inlineStr">
        <is>
          <t>ppe_net</t>
        </is>
      </c>
      <c r="B250" t="inlineStr">
        <is>
          <t>PropertyPlantAndEquipmentNet</t>
        </is>
      </c>
      <c r="C250" t="inlineStr">
        <is>
          <t>us-gaap</t>
        </is>
      </c>
      <c r="D250" t="inlineStr">
        <is>
          <t>USD</t>
        </is>
      </c>
      <c r="F250" t="inlineStr">
        <is>
          <t>2025-03-31</t>
        </is>
      </c>
      <c r="G250" t="n">
        <v>14210992000</v>
      </c>
      <c r="H250" t="n">
        <v>2025</v>
      </c>
      <c r="I250" t="inlineStr">
        <is>
          <t>Q1</t>
        </is>
      </c>
      <c r="J250" t="inlineStr">
        <is>
          <t>10-Q</t>
        </is>
      </c>
      <c r="K250" t="inlineStr">
        <is>
          <t>2025-05-15</t>
        </is>
      </c>
      <c r="L250" t="inlineStr">
        <is>
          <t>0001769628-25-000014</t>
        </is>
      </c>
      <c r="M250" t="inlineStr">
        <is>
          <t>CY2025Q1I</t>
        </is>
      </c>
    </row>
    <row r="251">
      <c r="A251" t="inlineStr">
        <is>
          <t>ppe_net</t>
        </is>
      </c>
      <c r="B251" t="inlineStr">
        <is>
          <t>PropertyPlantAndEquipmentNet</t>
        </is>
      </c>
      <c r="C251" t="inlineStr">
        <is>
          <t>us-gaap</t>
        </is>
      </c>
      <c r="D251" t="inlineStr">
        <is>
          <t>USD</t>
        </is>
      </c>
      <c r="F251" t="inlineStr">
        <is>
          <t>2025-06-30</t>
        </is>
      </c>
      <c r="G251" t="n">
        <v>16631510000</v>
      </c>
      <c r="H251" t="n">
        <v>2025</v>
      </c>
      <c r="I251" t="inlineStr">
        <is>
          <t>Q2</t>
        </is>
      </c>
      <c r="J251" t="inlineStr">
        <is>
          <t>10-Q</t>
        </is>
      </c>
      <c r="K251" t="inlineStr">
        <is>
          <t>2025-08-13</t>
        </is>
      </c>
      <c r="L251" t="inlineStr">
        <is>
          <t>0001769628-25-000041</t>
        </is>
      </c>
      <c r="M251" t="inlineStr">
        <is>
          <t>CY2025Q2I</t>
        </is>
      </c>
    </row>
    <row r="252">
      <c r="A252" t="inlineStr">
        <is>
          <t>ppe_net</t>
        </is>
      </c>
      <c r="B252" t="inlineStr">
        <is>
          <t>PropertyPlantAndEquipmentNet</t>
        </is>
      </c>
      <c r="C252" t="inlineStr">
        <is>
          <t>us-gaap</t>
        </is>
      </c>
      <c r="D252" t="inlineStr">
        <is>
          <t>USD</t>
        </is>
      </c>
      <c r="F252" t="inlineStr">
        <is>
          <t>2025-09-30</t>
        </is>
      </c>
      <c r="G252" t="n">
        <v>20659181000</v>
      </c>
      <c r="H252" t="n">
        <v>2025</v>
      </c>
      <c r="I252" t="inlineStr">
        <is>
          <t>Q3</t>
        </is>
      </c>
      <c r="J252" t="inlineStr">
        <is>
          <t>10-Q</t>
        </is>
      </c>
      <c r="K252" t="inlineStr">
        <is>
          <t>2025-11-13</t>
        </is>
      </c>
      <c r="L252" t="inlineStr">
        <is>
          <t>0001769628-25-000062</t>
        </is>
      </c>
      <c r="M252" t="inlineStr">
        <is>
          <t>CY2025Q3I</t>
        </is>
      </c>
    </row>
    <row r="253">
      <c r="A253" t="inlineStr">
        <is>
          <t>ppe_net</t>
        </is>
      </c>
      <c r="B253" t="inlineStr">
        <is>
          <t>PropertyPlantAndEquipmentNet</t>
        </is>
      </c>
      <c r="C253" t="inlineStr">
        <is>
          <t>us-gaap</t>
        </is>
      </c>
      <c r="D253" t="inlineStr">
        <is>
          <t>USD</t>
        </is>
      </c>
      <c r="F253" t="inlineStr">
        <is>
          <t>2025-12-31</t>
        </is>
      </c>
      <c r="G253" t="n">
        <v>30557000000</v>
      </c>
      <c r="H253" t="n">
        <v>2025</v>
      </c>
      <c r="I253" t="inlineStr">
        <is>
          <t>FY</t>
        </is>
      </c>
      <c r="J253" t="inlineStr">
        <is>
          <t>10-K</t>
        </is>
      </c>
      <c r="K253" t="inlineStr">
        <is>
          <t>2026-03-02</t>
        </is>
      </c>
      <c r="L253" t="inlineStr">
        <is>
          <t>0001769628-26-000104</t>
        </is>
      </c>
    </row>
    <row r="254">
      <c r="A254" t="inlineStr">
        <is>
          <t>ppe_net</t>
        </is>
      </c>
      <c r="B254" t="inlineStr">
        <is>
          <t>PropertyPlantAndEquipmentNet</t>
        </is>
      </c>
      <c r="C254" t="inlineStr">
        <is>
          <t>us-gaap</t>
        </is>
      </c>
      <c r="D254" t="inlineStr">
        <is>
          <t>USD</t>
        </is>
      </c>
      <c r="F254" t="inlineStr">
        <is>
          <t>2025-12-31</t>
        </is>
      </c>
      <c r="G254" t="n">
        <v>30557000000</v>
      </c>
      <c r="H254" t="n">
        <v>2026</v>
      </c>
      <c r="I254" t="inlineStr">
        <is>
          <t>Q1</t>
        </is>
      </c>
      <c r="J254" t="inlineStr">
        <is>
          <t>10-Q</t>
        </is>
      </c>
      <c r="K254" t="inlineStr">
        <is>
          <t>2026-05-08</t>
        </is>
      </c>
      <c r="L254" t="inlineStr">
        <is>
          <t>0001769628-26-000222</t>
        </is>
      </c>
    </row>
    <row r="255">
      <c r="A255" t="inlineStr">
        <is>
          <t>ppe_net</t>
        </is>
      </c>
      <c r="B255" t="inlineStr">
        <is>
          <t>PropertyPlantAndEquipmentNet</t>
        </is>
      </c>
      <c r="C255" t="inlineStr">
        <is>
          <t>us-gaap</t>
        </is>
      </c>
      <c r="D255" t="inlineStr">
        <is>
          <t>USD</t>
        </is>
      </c>
      <c r="F255" t="inlineStr">
        <is>
          <t>2025-12-31</t>
        </is>
      </c>
      <c r="G255" t="n">
        <v>30557000000</v>
      </c>
      <c r="H255" t="n">
        <v>2026</v>
      </c>
      <c r="I255" t="inlineStr">
        <is>
          <t>Q2</t>
        </is>
      </c>
      <c r="J255" t="inlineStr">
        <is>
          <t>10-Q</t>
        </is>
      </c>
      <c r="K255" t="inlineStr">
        <is>
          <t>2026-08-12</t>
        </is>
      </c>
      <c r="L255" t="inlineStr">
        <is>
          <t>0001769628-26-000366</t>
        </is>
      </c>
      <c r="M255" t="inlineStr">
        <is>
          <t>CY2025Q4I</t>
        </is>
      </c>
    </row>
    <row r="256">
      <c r="A256" t="inlineStr">
        <is>
          <t>ppe_net</t>
        </is>
      </c>
      <c r="B256" t="inlineStr">
        <is>
          <t>PropertyPlantAndEquipmentNet</t>
        </is>
      </c>
      <c r="C256" t="inlineStr">
        <is>
          <t>us-gaap</t>
        </is>
      </c>
      <c r="D256" t="inlineStr">
        <is>
          <t>USD</t>
        </is>
      </c>
      <c r="F256" t="inlineStr">
        <is>
          <t>2026-03-31</t>
        </is>
      </c>
      <c r="G256" t="n">
        <v>36424000000</v>
      </c>
      <c r="H256" t="n">
        <v>2026</v>
      </c>
      <c r="I256" t="inlineStr">
        <is>
          <t>Q1</t>
        </is>
      </c>
      <c r="J256" t="inlineStr">
        <is>
          <t>10-Q</t>
        </is>
      </c>
      <c r="K256" t="inlineStr">
        <is>
          <t>2026-05-08</t>
        </is>
      </c>
      <c r="L256" t="inlineStr">
        <is>
          <t>0001769628-26-000222</t>
        </is>
      </c>
      <c r="M256" t="inlineStr">
        <is>
          <t>CY2026Q1I</t>
        </is>
      </c>
    </row>
    <row r="257">
      <c r="A257" t="inlineStr">
        <is>
          <t>ppe_net</t>
        </is>
      </c>
      <c r="B257" t="inlineStr">
        <is>
          <t>PropertyPlantAndEquipmentNet</t>
        </is>
      </c>
      <c r="C257" t="inlineStr">
        <is>
          <t>us-gaap</t>
        </is>
      </c>
      <c r="D257" t="inlineStr">
        <is>
          <t>USD</t>
        </is>
      </c>
      <c r="F257" t="inlineStr">
        <is>
          <t>2026-06-30</t>
        </is>
      </c>
      <c r="G257" t="n">
        <v>46736000000</v>
      </c>
      <c r="H257" t="n">
        <v>2026</v>
      </c>
      <c r="I257" t="inlineStr">
        <is>
          <t>Q2</t>
        </is>
      </c>
      <c r="J257" t="inlineStr">
        <is>
          <t>10-Q</t>
        </is>
      </c>
      <c r="K257" t="inlineStr">
        <is>
          <t>2026-08-12</t>
        </is>
      </c>
      <c r="L257" t="inlineStr">
        <is>
          <t>0001769628-26-000366</t>
        </is>
      </c>
      <c r="M257" t="inlineStr">
        <is>
          <t>CY2026Q2I</t>
        </is>
      </c>
    </row>
    <row r="258">
      <c r="A258" t="inlineStr">
        <is>
          <t>receivables</t>
        </is>
      </c>
      <c r="B258" t="inlineStr">
        <is>
          <t>AccountsReceivableNetCurrent</t>
        </is>
      </c>
      <c r="C258" t="inlineStr">
        <is>
          <t>us-gaap</t>
        </is>
      </c>
      <c r="D258" t="inlineStr">
        <is>
          <t>USD</t>
        </is>
      </c>
      <c r="F258" t="inlineStr">
        <is>
          <t>2024-12-31</t>
        </is>
      </c>
      <c r="G258" t="n">
        <v>416526000</v>
      </c>
      <c r="H258" t="n">
        <v>2025</v>
      </c>
      <c r="I258" t="inlineStr">
        <is>
          <t>Q1</t>
        </is>
      </c>
      <c r="J258" t="inlineStr">
        <is>
          <t>10-Q</t>
        </is>
      </c>
      <c r="K258" t="inlineStr">
        <is>
          <t>2025-05-15</t>
        </is>
      </c>
      <c r="L258" t="inlineStr">
        <is>
          <t>0001769628-25-000014</t>
        </is>
      </c>
    </row>
    <row r="259">
      <c r="A259" t="inlineStr">
        <is>
          <t>receivables</t>
        </is>
      </c>
      <c r="B259" t="inlineStr">
        <is>
          <t>AccountsReceivableNetCurrent</t>
        </is>
      </c>
      <c r="C259" t="inlineStr">
        <is>
          <t>us-gaap</t>
        </is>
      </c>
      <c r="D259" t="inlineStr">
        <is>
          <t>USD</t>
        </is>
      </c>
      <c r="F259" t="inlineStr">
        <is>
          <t>2024-12-31</t>
        </is>
      </c>
      <c r="G259" t="n">
        <v>416526000</v>
      </c>
      <c r="H259" t="n">
        <v>2025</v>
      </c>
      <c r="I259" t="inlineStr">
        <is>
          <t>Q2</t>
        </is>
      </c>
      <c r="J259" t="inlineStr">
        <is>
          <t>10-Q</t>
        </is>
      </c>
      <c r="K259" t="inlineStr">
        <is>
          <t>2025-08-13</t>
        </is>
      </c>
      <c r="L259" t="inlineStr">
        <is>
          <t>0001769628-25-000041</t>
        </is>
      </c>
    </row>
    <row r="260">
      <c r="A260" t="inlineStr">
        <is>
          <t>receivables</t>
        </is>
      </c>
      <c r="B260" t="inlineStr">
        <is>
          <t>AccountsReceivableNetCurrent</t>
        </is>
      </c>
      <c r="C260" t="inlineStr">
        <is>
          <t>us-gaap</t>
        </is>
      </c>
      <c r="D260" t="inlineStr">
        <is>
          <t>USD</t>
        </is>
      </c>
      <c r="F260" t="inlineStr">
        <is>
          <t>2024-12-31</t>
        </is>
      </c>
      <c r="G260" t="n">
        <v>416526000</v>
      </c>
      <c r="H260" t="n">
        <v>2025</v>
      </c>
      <c r="I260" t="inlineStr">
        <is>
          <t>Q3</t>
        </is>
      </c>
      <c r="J260" t="inlineStr">
        <is>
          <t>10-Q</t>
        </is>
      </c>
      <c r="K260" t="inlineStr">
        <is>
          <t>2025-11-13</t>
        </is>
      </c>
      <c r="L260" t="inlineStr">
        <is>
          <t>0001769628-25-000062</t>
        </is>
      </c>
    </row>
    <row r="261">
      <c r="A261" t="inlineStr">
        <is>
          <t>receivables</t>
        </is>
      </c>
      <c r="B261" t="inlineStr">
        <is>
          <t>AccountsReceivableNetCurrent</t>
        </is>
      </c>
      <c r="C261" t="inlineStr">
        <is>
          <t>us-gaap</t>
        </is>
      </c>
      <c r="D261" t="inlineStr">
        <is>
          <t>USD</t>
        </is>
      </c>
      <c r="F261" t="inlineStr">
        <is>
          <t>2024-12-31</t>
        </is>
      </c>
      <c r="G261" t="n">
        <v>417000000</v>
      </c>
      <c r="H261" t="n">
        <v>2025</v>
      </c>
      <c r="I261" t="inlineStr">
        <is>
          <t>FY</t>
        </is>
      </c>
      <c r="J261" t="inlineStr">
        <is>
          <t>10-K</t>
        </is>
      </c>
      <c r="K261" t="inlineStr">
        <is>
          <t>2026-03-02</t>
        </is>
      </c>
      <c r="L261" t="inlineStr">
        <is>
          <t>0001769628-26-000104</t>
        </is>
      </c>
      <c r="M261" t="inlineStr">
        <is>
          <t>CY2024Q4I</t>
        </is>
      </c>
    </row>
    <row r="262">
      <c r="A262" t="inlineStr">
        <is>
          <t>receivables</t>
        </is>
      </c>
      <c r="B262" t="inlineStr">
        <is>
          <t>AccountsReceivableNetCurrent</t>
        </is>
      </c>
      <c r="C262" t="inlineStr">
        <is>
          <t>us-gaap</t>
        </is>
      </c>
      <c r="D262" t="inlineStr">
        <is>
          <t>USD</t>
        </is>
      </c>
      <c r="F262" t="inlineStr">
        <is>
          <t>2025-03-31</t>
        </is>
      </c>
      <c r="G262" t="n">
        <v>1055208000</v>
      </c>
      <c r="H262" t="n">
        <v>2025</v>
      </c>
      <c r="I262" t="inlineStr">
        <is>
          <t>Q1</t>
        </is>
      </c>
      <c r="J262" t="inlineStr">
        <is>
          <t>10-Q</t>
        </is>
      </c>
      <c r="K262" t="inlineStr">
        <is>
          <t>2025-05-15</t>
        </is>
      </c>
      <c r="L262" t="inlineStr">
        <is>
          <t>0001769628-25-000014</t>
        </is>
      </c>
      <c r="M262" t="inlineStr">
        <is>
          <t>CY2025Q1I</t>
        </is>
      </c>
    </row>
    <row r="263">
      <c r="A263" t="inlineStr">
        <is>
          <t>receivables</t>
        </is>
      </c>
      <c r="B263" t="inlineStr">
        <is>
          <t>AccountsReceivableNetCurrent</t>
        </is>
      </c>
      <c r="C263" t="inlineStr">
        <is>
          <t>us-gaap</t>
        </is>
      </c>
      <c r="D263" t="inlineStr">
        <is>
          <t>USD</t>
        </is>
      </c>
      <c r="F263" t="inlineStr">
        <is>
          <t>2025-06-30</t>
        </is>
      </c>
      <c r="G263" t="n">
        <v>1933698000</v>
      </c>
      <c r="H263" t="n">
        <v>2025</v>
      </c>
      <c r="I263" t="inlineStr">
        <is>
          <t>Q2</t>
        </is>
      </c>
      <c r="J263" t="inlineStr">
        <is>
          <t>10-Q</t>
        </is>
      </c>
      <c r="K263" t="inlineStr">
        <is>
          <t>2025-08-13</t>
        </is>
      </c>
      <c r="L263" t="inlineStr">
        <is>
          <t>0001769628-25-000041</t>
        </is>
      </c>
      <c r="M263" t="inlineStr">
        <is>
          <t>CY2025Q2I</t>
        </is>
      </c>
    </row>
    <row r="264">
      <c r="A264" t="inlineStr">
        <is>
          <t>receivables</t>
        </is>
      </c>
      <c r="B264" t="inlineStr">
        <is>
          <t>AccountsReceivableNetCurrent</t>
        </is>
      </c>
      <c r="C264" t="inlineStr">
        <is>
          <t>us-gaap</t>
        </is>
      </c>
      <c r="D264" t="inlineStr">
        <is>
          <t>USD</t>
        </is>
      </c>
      <c r="F264" t="inlineStr">
        <is>
          <t>2025-09-30</t>
        </is>
      </c>
      <c r="G264" t="n">
        <v>1659229000</v>
      </c>
      <c r="H264" t="n">
        <v>2025</v>
      </c>
      <c r="I264" t="inlineStr">
        <is>
          <t>Q3</t>
        </is>
      </c>
      <c r="J264" t="inlineStr">
        <is>
          <t>10-Q</t>
        </is>
      </c>
      <c r="K264" t="inlineStr">
        <is>
          <t>2025-11-13</t>
        </is>
      </c>
      <c r="L264" t="inlineStr">
        <is>
          <t>0001769628-25-000062</t>
        </is>
      </c>
      <c r="M264" t="inlineStr">
        <is>
          <t>CY2025Q3I</t>
        </is>
      </c>
    </row>
    <row r="265">
      <c r="A265" t="inlineStr">
        <is>
          <t>receivables</t>
        </is>
      </c>
      <c r="B265" t="inlineStr">
        <is>
          <t>AccountsReceivableNetCurrent</t>
        </is>
      </c>
      <c r="C265" t="inlineStr">
        <is>
          <t>us-gaap</t>
        </is>
      </c>
      <c r="D265" t="inlineStr">
        <is>
          <t>USD</t>
        </is>
      </c>
      <c r="F265" t="inlineStr">
        <is>
          <t>2025-12-31</t>
        </is>
      </c>
      <c r="G265" t="n">
        <v>3169000000</v>
      </c>
      <c r="H265" t="n">
        <v>2025</v>
      </c>
      <c r="I265" t="inlineStr">
        <is>
          <t>FY</t>
        </is>
      </c>
      <c r="J265" t="inlineStr">
        <is>
          <t>10-K</t>
        </is>
      </c>
      <c r="K265" t="inlineStr">
        <is>
          <t>2026-03-02</t>
        </is>
      </c>
      <c r="L265" t="inlineStr">
        <is>
          <t>0001769628-26-000104</t>
        </is>
      </c>
    </row>
    <row r="266">
      <c r="A266" t="inlineStr">
        <is>
          <t>receivables</t>
        </is>
      </c>
      <c r="B266" t="inlineStr">
        <is>
          <t>AccountsReceivableNetCurrent</t>
        </is>
      </c>
      <c r="C266" t="inlineStr">
        <is>
          <t>us-gaap</t>
        </is>
      </c>
      <c r="D266" t="inlineStr">
        <is>
          <t>USD</t>
        </is>
      </c>
      <c r="F266" t="inlineStr">
        <is>
          <t>2025-12-31</t>
        </is>
      </c>
      <c r="G266" t="n">
        <v>3169000000</v>
      </c>
      <c r="H266" t="n">
        <v>2026</v>
      </c>
      <c r="I266" t="inlineStr">
        <is>
          <t>Q1</t>
        </is>
      </c>
      <c r="J266" t="inlineStr">
        <is>
          <t>10-Q</t>
        </is>
      </c>
      <c r="K266" t="inlineStr">
        <is>
          <t>2026-05-08</t>
        </is>
      </c>
      <c r="L266" t="inlineStr">
        <is>
          <t>0001769628-26-000222</t>
        </is>
      </c>
    </row>
    <row r="267">
      <c r="A267" t="inlineStr">
        <is>
          <t>receivables</t>
        </is>
      </c>
      <c r="B267" t="inlineStr">
        <is>
          <t>AccountsReceivableNetCurrent</t>
        </is>
      </c>
      <c r="C267" t="inlineStr">
        <is>
          <t>us-gaap</t>
        </is>
      </c>
      <c r="D267" t="inlineStr">
        <is>
          <t>USD</t>
        </is>
      </c>
      <c r="F267" t="inlineStr">
        <is>
          <t>2025-12-31</t>
        </is>
      </c>
      <c r="G267" t="n">
        <v>3169000000</v>
      </c>
      <c r="H267" t="n">
        <v>2026</v>
      </c>
      <c r="I267" t="inlineStr">
        <is>
          <t>Q2</t>
        </is>
      </c>
      <c r="J267" t="inlineStr">
        <is>
          <t>10-Q</t>
        </is>
      </c>
      <c r="K267" t="inlineStr">
        <is>
          <t>2026-08-12</t>
        </is>
      </c>
      <c r="L267" t="inlineStr">
        <is>
          <t>0001769628-26-000366</t>
        </is>
      </c>
      <c r="M267" t="inlineStr">
        <is>
          <t>CY2025Q4I</t>
        </is>
      </c>
    </row>
    <row r="268">
      <c r="A268" t="inlineStr">
        <is>
          <t>receivables</t>
        </is>
      </c>
      <c r="B268" t="inlineStr">
        <is>
          <t>AccountsReceivableNetCurrent</t>
        </is>
      </c>
      <c r="C268" t="inlineStr">
        <is>
          <t>us-gaap</t>
        </is>
      </c>
      <c r="D268" t="inlineStr">
        <is>
          <t>USD</t>
        </is>
      </c>
      <c r="F268" t="inlineStr">
        <is>
          <t>2026-03-31</t>
        </is>
      </c>
      <c r="G268" t="n">
        <v>2120000000</v>
      </c>
      <c r="H268" t="n">
        <v>2026</v>
      </c>
      <c r="I268" t="inlineStr">
        <is>
          <t>Q1</t>
        </is>
      </c>
      <c r="J268" t="inlineStr">
        <is>
          <t>10-Q</t>
        </is>
      </c>
      <c r="K268" t="inlineStr">
        <is>
          <t>2026-05-08</t>
        </is>
      </c>
      <c r="L268" t="inlineStr">
        <is>
          <t>0001769628-26-000222</t>
        </is>
      </c>
      <c r="M268" t="inlineStr">
        <is>
          <t>CY2026Q1I</t>
        </is>
      </c>
    </row>
    <row r="269">
      <c r="A269" t="inlineStr">
        <is>
          <t>receivables</t>
        </is>
      </c>
      <c r="B269" t="inlineStr">
        <is>
          <t>AccountsReceivableNetCurrent</t>
        </is>
      </c>
      <c r="C269" t="inlineStr">
        <is>
          <t>us-gaap</t>
        </is>
      </c>
      <c r="D269" t="inlineStr">
        <is>
          <t>USD</t>
        </is>
      </c>
      <c r="F269" t="inlineStr">
        <is>
          <t>2026-06-30</t>
        </is>
      </c>
      <c r="G269" t="n">
        <v>2541000000</v>
      </c>
      <c r="H269" t="n">
        <v>2026</v>
      </c>
      <c r="I269" t="inlineStr">
        <is>
          <t>Q2</t>
        </is>
      </c>
      <c r="J269" t="inlineStr">
        <is>
          <t>10-Q</t>
        </is>
      </c>
      <c r="K269" t="inlineStr">
        <is>
          <t>2026-08-12</t>
        </is>
      </c>
      <c r="L269" t="inlineStr">
        <is>
          <t>0001769628-26-000366</t>
        </is>
      </c>
      <c r="M269" t="inlineStr">
        <is>
          <t>CY2026Q2I</t>
        </is>
      </c>
    </row>
    <row r="270">
      <c r="A270" t="inlineStr">
        <is>
          <t>revenue</t>
        </is>
      </c>
      <c r="B270" t="inlineStr">
        <is>
          <t>RevenueFromContractWithCustomerExcludingAssessedTax</t>
        </is>
      </c>
      <c r="C270" t="inlineStr">
        <is>
          <t>us-gaap</t>
        </is>
      </c>
      <c r="D270" t="inlineStr">
        <is>
          <t>USD</t>
        </is>
      </c>
      <c r="E270" t="inlineStr">
        <is>
          <t>2023-01-01</t>
        </is>
      </c>
      <c r="F270" t="inlineStr">
        <is>
          <t>2023-12-31</t>
        </is>
      </c>
      <c r="G270" t="n">
        <v>229000000</v>
      </c>
      <c r="H270" t="n">
        <v>2025</v>
      </c>
      <c r="I270" t="inlineStr">
        <is>
          <t>FY</t>
        </is>
      </c>
      <c r="J270" t="inlineStr">
        <is>
          <t>10-K</t>
        </is>
      </c>
      <c r="K270" t="inlineStr">
        <is>
          <t>2026-03-02</t>
        </is>
      </c>
      <c r="L270" t="inlineStr">
        <is>
          <t>0001769628-26-000104</t>
        </is>
      </c>
      <c r="M270" t="inlineStr">
        <is>
          <t>CY2023</t>
        </is>
      </c>
    </row>
    <row r="271">
      <c r="A271" t="inlineStr">
        <is>
          <t>revenue</t>
        </is>
      </c>
      <c r="B271" t="inlineStr">
        <is>
          <t>RevenueFromContractWithCustomerExcludingAssessedTax</t>
        </is>
      </c>
      <c r="C271" t="inlineStr">
        <is>
          <t>us-gaap</t>
        </is>
      </c>
      <c r="D271" t="inlineStr">
        <is>
          <t>USD</t>
        </is>
      </c>
      <c r="E271" t="inlineStr">
        <is>
          <t>2024-01-01</t>
        </is>
      </c>
      <c r="F271" t="inlineStr">
        <is>
          <t>2024-03-31</t>
        </is>
      </c>
      <c r="G271" t="n">
        <v>188684000</v>
      </c>
      <c r="H271" t="n">
        <v>2025</v>
      </c>
      <c r="I271" t="inlineStr">
        <is>
          <t>Q1</t>
        </is>
      </c>
      <c r="J271" t="inlineStr">
        <is>
          <t>10-Q</t>
        </is>
      </c>
      <c r="K271" t="inlineStr">
        <is>
          <t>2025-05-15</t>
        </is>
      </c>
      <c r="L271" t="inlineStr">
        <is>
          <t>0001769628-25-000014</t>
        </is>
      </c>
      <c r="M271" t="inlineStr">
        <is>
          <t>CY2024Q1</t>
        </is>
      </c>
    </row>
    <row r="272">
      <c r="A272" t="inlineStr">
        <is>
          <t>revenue</t>
        </is>
      </c>
      <c r="B272" t="inlineStr">
        <is>
          <t>RevenueFromContractWithCustomerExcludingAssessedTax</t>
        </is>
      </c>
      <c r="C272" t="inlineStr">
        <is>
          <t>us-gaap</t>
        </is>
      </c>
      <c r="D272" t="inlineStr">
        <is>
          <t>USD</t>
        </is>
      </c>
      <c r="E272" t="inlineStr">
        <is>
          <t>2024-01-01</t>
        </is>
      </c>
      <c r="F272" t="inlineStr">
        <is>
          <t>2024-06-30</t>
        </is>
      </c>
      <c r="G272" t="n">
        <v>584055000</v>
      </c>
      <c r="H272" t="n">
        <v>2025</v>
      </c>
      <c r="I272" t="inlineStr">
        <is>
          <t>Q2</t>
        </is>
      </c>
      <c r="J272" t="inlineStr">
        <is>
          <t>10-Q</t>
        </is>
      </c>
      <c r="K272" t="inlineStr">
        <is>
          <t>2025-08-13</t>
        </is>
      </c>
      <c r="L272" t="inlineStr">
        <is>
          <t>0001769628-25-000041</t>
        </is>
      </c>
    </row>
    <row r="273">
      <c r="A273" t="inlineStr">
        <is>
          <t>revenue</t>
        </is>
      </c>
      <c r="B273" t="inlineStr">
        <is>
          <t>RevenueFromContractWithCustomerExcludingAssessedTax</t>
        </is>
      </c>
      <c r="C273" t="inlineStr">
        <is>
          <t>us-gaap</t>
        </is>
      </c>
      <c r="D273" t="inlineStr">
        <is>
          <t>USD</t>
        </is>
      </c>
      <c r="E273" t="inlineStr">
        <is>
          <t>2024-04-01</t>
        </is>
      </c>
      <c r="F273" t="inlineStr">
        <is>
          <t>2024-06-30</t>
        </is>
      </c>
      <c r="G273" t="n">
        <v>395371000</v>
      </c>
      <c r="H273" t="n">
        <v>2025</v>
      </c>
      <c r="I273" t="inlineStr">
        <is>
          <t>Q2</t>
        </is>
      </c>
      <c r="J273" t="inlineStr">
        <is>
          <t>10-Q</t>
        </is>
      </c>
      <c r="K273" t="inlineStr">
        <is>
          <t>2025-08-13</t>
        </is>
      </c>
      <c r="L273" t="inlineStr">
        <is>
          <t>0001769628-25-000041</t>
        </is>
      </c>
      <c r="M273" t="inlineStr">
        <is>
          <t>CY2024Q2</t>
        </is>
      </c>
    </row>
    <row r="274">
      <c r="A274" t="inlineStr">
        <is>
          <t>revenue</t>
        </is>
      </c>
      <c r="B274" t="inlineStr">
        <is>
          <t>RevenueFromContractWithCustomerExcludingAssessedTax</t>
        </is>
      </c>
      <c r="C274" t="inlineStr">
        <is>
          <t>us-gaap</t>
        </is>
      </c>
      <c r="D274" t="inlineStr">
        <is>
          <t>USD</t>
        </is>
      </c>
      <c r="E274" t="inlineStr">
        <is>
          <t>2024-01-01</t>
        </is>
      </c>
      <c r="F274" t="inlineStr">
        <is>
          <t>2024-09-30</t>
        </is>
      </c>
      <c r="G274" t="n">
        <v>1167996000</v>
      </c>
      <c r="H274" t="n">
        <v>2025</v>
      </c>
      <c r="I274" t="inlineStr">
        <is>
          <t>Q3</t>
        </is>
      </c>
      <c r="J274" t="inlineStr">
        <is>
          <t>10-Q</t>
        </is>
      </c>
      <c r="K274" t="inlineStr">
        <is>
          <t>2025-11-13</t>
        </is>
      </c>
      <c r="L274" t="inlineStr">
        <is>
          <t>0001769628-25-000062</t>
        </is>
      </c>
    </row>
    <row r="275">
      <c r="A275" t="inlineStr">
        <is>
          <t>revenue</t>
        </is>
      </c>
      <c r="B275" t="inlineStr">
        <is>
          <t>RevenueFromContractWithCustomerExcludingAssessedTax</t>
        </is>
      </c>
      <c r="C275" t="inlineStr">
        <is>
          <t>us-gaap</t>
        </is>
      </c>
      <c r="D275" t="inlineStr">
        <is>
          <t>USD</t>
        </is>
      </c>
      <c r="E275" t="inlineStr">
        <is>
          <t>2024-07-01</t>
        </is>
      </c>
      <c r="F275" t="inlineStr">
        <is>
          <t>2024-09-30</t>
        </is>
      </c>
      <c r="G275" t="n">
        <v>583941000</v>
      </c>
      <c r="H275" t="n">
        <v>2025</v>
      </c>
      <c r="I275" t="inlineStr">
        <is>
          <t>Q3</t>
        </is>
      </c>
      <c r="J275" t="inlineStr">
        <is>
          <t>10-Q</t>
        </is>
      </c>
      <c r="K275" t="inlineStr">
        <is>
          <t>2025-11-13</t>
        </is>
      </c>
      <c r="L275" t="inlineStr">
        <is>
          <t>0001769628-25-000062</t>
        </is>
      </c>
      <c r="M275" t="inlineStr">
        <is>
          <t>CY2024Q3</t>
        </is>
      </c>
    </row>
    <row r="276">
      <c r="A276" t="inlineStr">
        <is>
          <t>revenue</t>
        </is>
      </c>
      <c r="B276" t="inlineStr">
        <is>
          <t>RevenueFromContractWithCustomerExcludingAssessedTax</t>
        </is>
      </c>
      <c r="C276" t="inlineStr">
        <is>
          <t>us-gaap</t>
        </is>
      </c>
      <c r="D276" t="inlineStr">
        <is>
          <t>USD</t>
        </is>
      </c>
      <c r="E276" t="inlineStr">
        <is>
          <t>2024-01-01</t>
        </is>
      </c>
      <c r="F276" t="inlineStr">
        <is>
          <t>2024-12-31</t>
        </is>
      </c>
      <c r="G276" t="n">
        <v>1915000000</v>
      </c>
      <c r="H276" t="n">
        <v>2025</v>
      </c>
      <c r="I276" t="inlineStr">
        <is>
          <t>FY</t>
        </is>
      </c>
      <c r="J276" t="inlineStr">
        <is>
          <t>10-K</t>
        </is>
      </c>
      <c r="K276" t="inlineStr">
        <is>
          <t>2026-03-02</t>
        </is>
      </c>
      <c r="L276" t="inlineStr">
        <is>
          <t>0001769628-26-000104</t>
        </is>
      </c>
      <c r="M276" t="inlineStr">
        <is>
          <t>CY2024</t>
        </is>
      </c>
    </row>
    <row r="277">
      <c r="A277" t="inlineStr">
        <is>
          <t>revenue</t>
        </is>
      </c>
      <c r="B277" t="inlineStr">
        <is>
          <t>RevenueFromContractWithCustomerExcludingAssessedTax</t>
        </is>
      </c>
      <c r="C277" t="inlineStr">
        <is>
          <t>us-gaap</t>
        </is>
      </c>
      <c r="D277" t="inlineStr">
        <is>
          <t>USD</t>
        </is>
      </c>
      <c r="E277" t="inlineStr">
        <is>
          <t>2025-01-01</t>
        </is>
      </c>
      <c r="F277" t="inlineStr">
        <is>
          <t>2025-03-31</t>
        </is>
      </c>
      <c r="G277" t="n">
        <v>981632000</v>
      </c>
      <c r="H277" t="n">
        <v>2025</v>
      </c>
      <c r="I277" t="inlineStr">
        <is>
          <t>Q1</t>
        </is>
      </c>
      <c r="J277" t="inlineStr">
        <is>
          <t>10-Q</t>
        </is>
      </c>
      <c r="K277" t="inlineStr">
        <is>
          <t>2025-05-15</t>
        </is>
      </c>
      <c r="L277" t="inlineStr">
        <is>
          <t>0001769628-25-000014</t>
        </is>
      </c>
    </row>
    <row r="278">
      <c r="A278" t="inlineStr">
        <is>
          <t>revenue</t>
        </is>
      </c>
      <c r="B278" t="inlineStr">
        <is>
          <t>RevenueFromContractWithCustomerExcludingAssessedTax</t>
        </is>
      </c>
      <c r="C278" t="inlineStr">
        <is>
          <t>us-gaap</t>
        </is>
      </c>
      <c r="D278" t="inlineStr">
        <is>
          <t>USD</t>
        </is>
      </c>
      <c r="E278" t="inlineStr">
        <is>
          <t>2025-01-01</t>
        </is>
      </c>
      <c r="F278" t="inlineStr">
        <is>
          <t>2025-03-31</t>
        </is>
      </c>
      <c r="G278" t="n">
        <v>982000000</v>
      </c>
      <c r="H278" t="n">
        <v>2026</v>
      </c>
      <c r="I278" t="inlineStr">
        <is>
          <t>Q1</t>
        </is>
      </c>
      <c r="J278" t="inlineStr">
        <is>
          <t>10-Q</t>
        </is>
      </c>
      <c r="K278" t="inlineStr">
        <is>
          <t>2026-05-08</t>
        </is>
      </c>
      <c r="L278" t="inlineStr">
        <is>
          <t>0001769628-26-000222</t>
        </is>
      </c>
      <c r="M278" t="inlineStr">
        <is>
          <t>CY2025Q1</t>
        </is>
      </c>
    </row>
    <row r="279">
      <c r="A279" t="inlineStr">
        <is>
          <t>revenue</t>
        </is>
      </c>
      <c r="B279" t="inlineStr">
        <is>
          <t>RevenueFromContractWithCustomerExcludingAssessedTax</t>
        </is>
      </c>
      <c r="C279" t="inlineStr">
        <is>
          <t>us-gaap</t>
        </is>
      </c>
      <c r="D279" t="inlineStr">
        <is>
          <t>USD</t>
        </is>
      </c>
      <c r="E279" t="inlineStr">
        <is>
          <t>2025-01-01</t>
        </is>
      </c>
      <c r="F279" t="inlineStr">
        <is>
          <t>2025-06-30</t>
        </is>
      </c>
      <c r="G279" t="n">
        <v>2194420000</v>
      </c>
      <c r="H279" t="n">
        <v>2025</v>
      </c>
      <c r="I279" t="inlineStr">
        <is>
          <t>Q2</t>
        </is>
      </c>
      <c r="J279" t="inlineStr">
        <is>
          <t>10-Q</t>
        </is>
      </c>
      <c r="K279" t="inlineStr">
        <is>
          <t>2025-08-13</t>
        </is>
      </c>
      <c r="L279" t="inlineStr">
        <is>
          <t>0001769628-25-000041</t>
        </is>
      </c>
    </row>
    <row r="280">
      <c r="A280" t="inlineStr">
        <is>
          <t>revenue</t>
        </is>
      </c>
      <c r="B280" t="inlineStr">
        <is>
          <t>RevenueFromContractWithCustomerExcludingAssessedTax</t>
        </is>
      </c>
      <c r="C280" t="inlineStr">
        <is>
          <t>us-gaap</t>
        </is>
      </c>
      <c r="D280" t="inlineStr">
        <is>
          <t>USD</t>
        </is>
      </c>
      <c r="E280" t="inlineStr">
        <is>
          <t>2025-04-01</t>
        </is>
      </c>
      <c r="F280" t="inlineStr">
        <is>
          <t>2025-06-30</t>
        </is>
      </c>
      <c r="G280" t="n">
        <v>1212788000</v>
      </c>
      <c r="H280" t="n">
        <v>2025</v>
      </c>
      <c r="I280" t="inlineStr">
        <is>
          <t>Q2</t>
        </is>
      </c>
      <c r="J280" t="inlineStr">
        <is>
          <t>10-Q</t>
        </is>
      </c>
      <c r="K280" t="inlineStr">
        <is>
          <t>2025-08-13</t>
        </is>
      </c>
      <c r="L280" t="inlineStr">
        <is>
          <t>0001769628-25-000041</t>
        </is>
      </c>
    </row>
    <row r="281">
      <c r="A281" t="inlineStr">
        <is>
          <t>revenue</t>
        </is>
      </c>
      <c r="B281" t="inlineStr">
        <is>
          <t>RevenueFromContractWithCustomerExcludingAssessedTax</t>
        </is>
      </c>
      <c r="C281" t="inlineStr">
        <is>
          <t>us-gaap</t>
        </is>
      </c>
      <c r="D281" t="inlineStr">
        <is>
          <t>USD</t>
        </is>
      </c>
      <c r="E281" t="inlineStr">
        <is>
          <t>2025-01-01</t>
        </is>
      </c>
      <c r="F281" t="inlineStr">
        <is>
          <t>2025-06-30</t>
        </is>
      </c>
      <c r="G281" t="n">
        <v>2194000000</v>
      </c>
      <c r="H281" t="n">
        <v>2026</v>
      </c>
      <c r="I281" t="inlineStr">
        <is>
          <t>Q2</t>
        </is>
      </c>
      <c r="J281" t="inlineStr">
        <is>
          <t>10-Q</t>
        </is>
      </c>
      <c r="K281" t="inlineStr">
        <is>
          <t>2026-08-12</t>
        </is>
      </c>
      <c r="L281" t="inlineStr">
        <is>
          <t>0001769628-26-000366</t>
        </is>
      </c>
    </row>
    <row r="282">
      <c r="A282" t="inlineStr">
        <is>
          <t>revenue</t>
        </is>
      </c>
      <c r="B282" t="inlineStr">
        <is>
          <t>RevenueFromContractWithCustomerExcludingAssessedTax</t>
        </is>
      </c>
      <c r="C282" t="inlineStr">
        <is>
          <t>us-gaap</t>
        </is>
      </c>
      <c r="D282" t="inlineStr">
        <is>
          <t>USD</t>
        </is>
      </c>
      <c r="E282" t="inlineStr">
        <is>
          <t>2025-04-01</t>
        </is>
      </c>
      <c r="F282" t="inlineStr">
        <is>
          <t>2025-06-30</t>
        </is>
      </c>
      <c r="G282" t="n">
        <v>1212000000</v>
      </c>
      <c r="H282" t="n">
        <v>2026</v>
      </c>
      <c r="I282" t="inlineStr">
        <is>
          <t>Q2</t>
        </is>
      </c>
      <c r="J282" t="inlineStr">
        <is>
          <t>10-Q</t>
        </is>
      </c>
      <c r="K282" t="inlineStr">
        <is>
          <t>2026-08-12</t>
        </is>
      </c>
      <c r="L282" t="inlineStr">
        <is>
          <t>0001769628-26-000366</t>
        </is>
      </c>
      <c r="M282" t="inlineStr">
        <is>
          <t>CY2025Q2</t>
        </is>
      </c>
    </row>
    <row r="283">
      <c r="A283" t="inlineStr">
        <is>
          <t>revenue</t>
        </is>
      </c>
      <c r="B283" t="inlineStr">
        <is>
          <t>RevenueFromContractWithCustomerExcludingAssessedTax</t>
        </is>
      </c>
      <c r="C283" t="inlineStr">
        <is>
          <t>us-gaap</t>
        </is>
      </c>
      <c r="D283" t="inlineStr">
        <is>
          <t>USD</t>
        </is>
      </c>
      <c r="E283" t="inlineStr">
        <is>
          <t>2025-01-01</t>
        </is>
      </c>
      <c r="F283" t="inlineStr">
        <is>
          <t>2025-09-30</t>
        </is>
      </c>
      <c r="G283" t="n">
        <v>3559096000</v>
      </c>
      <c r="H283" t="n">
        <v>2025</v>
      </c>
      <c r="I283" t="inlineStr">
        <is>
          <t>Q3</t>
        </is>
      </c>
      <c r="J283" t="inlineStr">
        <is>
          <t>10-Q</t>
        </is>
      </c>
      <c r="K283" t="inlineStr">
        <is>
          <t>2025-11-13</t>
        </is>
      </c>
      <c r="L283" t="inlineStr">
        <is>
          <t>0001769628-25-000062</t>
        </is>
      </c>
    </row>
    <row r="284">
      <c r="A284" t="inlineStr">
        <is>
          <t>revenue</t>
        </is>
      </c>
      <c r="B284" t="inlineStr">
        <is>
          <t>RevenueFromContractWithCustomerExcludingAssessedTax</t>
        </is>
      </c>
      <c r="C284" t="inlineStr">
        <is>
          <t>us-gaap</t>
        </is>
      </c>
      <c r="D284" t="inlineStr">
        <is>
          <t>USD</t>
        </is>
      </c>
      <c r="E284" t="inlineStr">
        <is>
          <t>2025-07-01</t>
        </is>
      </c>
      <c r="F284" t="inlineStr">
        <is>
          <t>2025-09-30</t>
        </is>
      </c>
      <c r="G284" t="n">
        <v>1364676000</v>
      </c>
      <c r="H284" t="n">
        <v>2025</v>
      </c>
      <c r="I284" t="inlineStr">
        <is>
          <t>Q3</t>
        </is>
      </c>
      <c r="J284" t="inlineStr">
        <is>
          <t>10-Q</t>
        </is>
      </c>
      <c r="K284" t="inlineStr">
        <is>
          <t>2025-11-13</t>
        </is>
      </c>
      <c r="L284" t="inlineStr">
        <is>
          <t>0001769628-25-000062</t>
        </is>
      </c>
      <c r="M284" t="inlineStr">
        <is>
          <t>CY2025Q3</t>
        </is>
      </c>
    </row>
    <row r="285">
      <c r="A285" t="inlineStr">
        <is>
          <t>revenue</t>
        </is>
      </c>
      <c r="B285" t="inlineStr">
        <is>
          <t>RevenueFromContractWithCustomerExcludingAssessedTax</t>
        </is>
      </c>
      <c r="C285" t="inlineStr">
        <is>
          <t>us-gaap</t>
        </is>
      </c>
      <c r="D285" t="inlineStr">
        <is>
          <t>USD</t>
        </is>
      </c>
      <c r="E285" t="inlineStr">
        <is>
          <t>2025-01-01</t>
        </is>
      </c>
      <c r="F285" t="inlineStr">
        <is>
          <t>2025-12-31</t>
        </is>
      </c>
      <c r="G285" t="n">
        <v>5131000000</v>
      </c>
      <c r="H285" t="n">
        <v>2025</v>
      </c>
      <c r="I285" t="inlineStr">
        <is>
          <t>FY</t>
        </is>
      </c>
      <c r="J285" t="inlineStr">
        <is>
          <t>10-K</t>
        </is>
      </c>
      <c r="K285" t="inlineStr">
        <is>
          <t>2026-03-02</t>
        </is>
      </c>
      <c r="L285" t="inlineStr">
        <is>
          <t>0001769628-26-000104</t>
        </is>
      </c>
      <c r="M285" t="inlineStr">
        <is>
          <t>CY2025</t>
        </is>
      </c>
    </row>
    <row r="286">
      <c r="A286" t="inlineStr">
        <is>
          <t>revenue</t>
        </is>
      </c>
      <c r="B286" t="inlineStr">
        <is>
          <t>RevenueFromContractWithCustomerExcludingAssessedTax</t>
        </is>
      </c>
      <c r="C286" t="inlineStr">
        <is>
          <t>us-gaap</t>
        </is>
      </c>
      <c r="D286" t="inlineStr">
        <is>
          <t>USD</t>
        </is>
      </c>
      <c r="E286" t="inlineStr">
        <is>
          <t>2026-01-01</t>
        </is>
      </c>
      <c r="F286" t="inlineStr">
        <is>
          <t>2026-03-31</t>
        </is>
      </c>
      <c r="G286" t="n">
        <v>2078000000</v>
      </c>
      <c r="H286" t="n">
        <v>2026</v>
      </c>
      <c r="I286" t="inlineStr">
        <is>
          <t>Q1</t>
        </is>
      </c>
      <c r="J286" t="inlineStr">
        <is>
          <t>10-Q</t>
        </is>
      </c>
      <c r="K286" t="inlineStr">
        <is>
          <t>2026-05-08</t>
        </is>
      </c>
      <c r="L286" t="inlineStr">
        <is>
          <t>0001769628-26-000222</t>
        </is>
      </c>
      <c r="M286" t="inlineStr">
        <is>
          <t>CY2026Q1</t>
        </is>
      </c>
    </row>
    <row r="287">
      <c r="A287" t="inlineStr">
        <is>
          <t>revenue</t>
        </is>
      </c>
      <c r="B287" t="inlineStr">
        <is>
          <t>RevenueFromContractWithCustomerExcludingAssessedTax</t>
        </is>
      </c>
      <c r="C287" t="inlineStr">
        <is>
          <t>us-gaap</t>
        </is>
      </c>
      <c r="D287" t="inlineStr">
        <is>
          <t>USD</t>
        </is>
      </c>
      <c r="E287" t="inlineStr">
        <is>
          <t>2026-01-01</t>
        </is>
      </c>
      <c r="F287" t="inlineStr">
        <is>
          <t>2026-06-30</t>
        </is>
      </c>
      <c r="G287" t="n">
        <v>4653000000</v>
      </c>
      <c r="H287" t="n">
        <v>2026</v>
      </c>
      <c r="I287" t="inlineStr">
        <is>
          <t>Q2</t>
        </is>
      </c>
      <c r="J287" t="inlineStr">
        <is>
          <t>10-Q</t>
        </is>
      </c>
      <c r="K287" t="inlineStr">
        <is>
          <t>2026-08-12</t>
        </is>
      </c>
      <c r="L287" t="inlineStr">
        <is>
          <t>0001769628-26-000366</t>
        </is>
      </c>
    </row>
    <row r="288">
      <c r="A288" t="inlineStr">
        <is>
          <t>revenue</t>
        </is>
      </c>
      <c r="B288" t="inlineStr">
        <is>
          <t>RevenueFromContractWithCustomerExcludingAssessedTax</t>
        </is>
      </c>
      <c r="C288" t="inlineStr">
        <is>
          <t>us-gaap</t>
        </is>
      </c>
      <c r="D288" t="inlineStr">
        <is>
          <t>USD</t>
        </is>
      </c>
      <c r="E288" t="inlineStr">
        <is>
          <t>2026-04-01</t>
        </is>
      </c>
      <c r="F288" t="inlineStr">
        <is>
          <t>2026-06-30</t>
        </is>
      </c>
      <c r="G288" t="n">
        <v>2575000000</v>
      </c>
      <c r="H288" t="n">
        <v>2026</v>
      </c>
      <c r="I288" t="inlineStr">
        <is>
          <t>Q2</t>
        </is>
      </c>
      <c r="J288" t="inlineStr">
        <is>
          <t>10-Q</t>
        </is>
      </c>
      <c r="K288" t="inlineStr">
        <is>
          <t>2026-08-12</t>
        </is>
      </c>
      <c r="L288" t="inlineStr">
        <is>
          <t>0001769628-26-000366</t>
        </is>
      </c>
      <c r="M288" t="inlineStr">
        <is>
          <t>CY2026Q2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4" customWidth="1" min="3" max="3"/>
    <col width="20" customWidth="1" min="4" max="4"/>
    <col width="24" customWidth="1" min="5" max="5"/>
    <col width="32" customWidth="1" min="6" max="6"/>
    <col width="27" customWidth="1" min="7" max="7"/>
  </cols>
  <sheetData>
    <row r="1">
      <c r="A1" s="10" t="inlineStr">
        <is>
          <t>index</t>
        </is>
      </c>
      <c r="B1" s="10" t="inlineStr">
        <is>
          <t>value</t>
        </is>
      </c>
      <c r="C1" s="10" t="inlineStr">
        <is>
          <t>external_funding_usd_m</t>
        </is>
      </c>
      <c r="D1" s="10" t="inlineStr">
        <is>
          <t>minimum_cash_usd_m</t>
        </is>
      </c>
      <c r="E1" s="10" t="inlineStr">
        <is>
          <t>net_debt_to_ebitda_end</t>
        </is>
      </c>
      <c r="F1" s="10" t="inlineStr">
        <is>
          <t>payback_company_definition_end</t>
        </is>
      </c>
      <c r="G1" s="10" t="inlineStr">
        <is>
          <t>revenue_final_year_usd_bn</t>
        </is>
      </c>
    </row>
    <row r="2">
      <c r="A2" t="inlineStr">
        <is>
          <t>base case</t>
        </is>
      </c>
      <c r="C2" t="n">
        <v>0</v>
      </c>
      <c r="D2" t="n">
        <v>5273.792037671233</v>
      </c>
      <c r="E2" t="n">
        <v>3.04963055976628</v>
      </c>
      <c r="F2" t="n">
        <v>4.177575564069817</v>
      </c>
      <c r="G2" t="n">
        <v>38.82328767123288</v>
      </c>
    </row>
    <row r="3">
      <c r="A3" t="inlineStr">
        <is>
          <t>depreciation_years = 4</t>
        </is>
      </c>
      <c r="B3" t="n">
        <v>4</v>
      </c>
      <c r="C3" t="n">
        <v>0</v>
      </c>
      <c r="D3" t="n">
        <v>5273.792037671233</v>
      </c>
      <c r="E3" t="n">
        <v>3.04963055976628</v>
      </c>
      <c r="F3" t="n">
        <v>4.177575564069817</v>
      </c>
      <c r="G3" t="n">
        <v>38.82328767123288</v>
      </c>
    </row>
    <row r="4">
      <c r="A4" t="inlineStr">
        <is>
          <t>financing_rate = 0.105</t>
        </is>
      </c>
      <c r="B4" t="n">
        <v>0.105</v>
      </c>
      <c r="C4" t="n">
        <v>0</v>
      </c>
      <c r="D4" t="n">
        <v>5273.792037671233</v>
      </c>
      <c r="E4" t="n">
        <v>3.04963055976628</v>
      </c>
      <c r="F4" t="n">
        <v>4.177575564069817</v>
      </c>
      <c r="G4" t="n">
        <v>38.82328767123288</v>
      </c>
    </row>
    <row r="5">
      <c r="A5" t="inlineStr">
        <is>
          <t>financing_rate = 0.15</t>
        </is>
      </c>
      <c r="B5" t="n">
        <v>0.15</v>
      </c>
      <c r="C5" t="n">
        <v>0</v>
      </c>
      <c r="D5" t="n">
        <v>5273.792037671233</v>
      </c>
      <c r="E5" t="n">
        <v>3.04963055976628</v>
      </c>
      <c r="F5" t="n">
        <v>4.177575564069817</v>
      </c>
      <c r="G5" t="n">
        <v>38.82328767123288</v>
      </c>
    </row>
    <row r="6">
      <c r="A6" t="inlineStr">
        <is>
          <t>residual_value_share = 0.2</t>
        </is>
      </c>
      <c r="B6" t="n">
        <v>0.2</v>
      </c>
      <c r="C6" t="n">
        <v>0</v>
      </c>
      <c r="D6" t="n">
        <v>5273.792037671233</v>
      </c>
      <c r="E6" t="n">
        <v>3.04963055976628</v>
      </c>
      <c r="F6" t="n">
        <v>4.177575564069817</v>
      </c>
      <c r="G6" t="n">
        <v>38.82328767123288</v>
      </c>
    </row>
    <row r="7">
      <c r="A7" t="inlineStr">
        <is>
          <t>prepayment_share_of_tcv = 0.07</t>
        </is>
      </c>
      <c r="B7" t="n">
        <v>0.07000000000000001</v>
      </c>
      <c r="C7" t="n">
        <v>0</v>
      </c>
      <c r="D7" t="n">
        <v>4841.792037671233</v>
      </c>
      <c r="E7" t="n">
        <v>3.198530504120555</v>
      </c>
      <c r="F7" t="n">
        <v>4.384472115793954</v>
      </c>
      <c r="G7" t="n">
        <v>38.82328767123288</v>
      </c>
    </row>
    <row r="8">
      <c r="A8" t="inlineStr">
        <is>
          <t>prepayment_share_of_tcv = 0.25</t>
        </is>
      </c>
      <c r="B8" t="n">
        <v>0.25</v>
      </c>
      <c r="C8" t="n">
        <v>0</v>
      </c>
      <c r="D8" t="n">
        <v>7433.792037671232</v>
      </c>
      <c r="E8" t="n">
        <v>2.305130837994902</v>
      </c>
      <c r="F8" t="n">
        <v>3.143092805449127</v>
      </c>
      <c r="G8" t="n">
        <v>38.82328767123288</v>
      </c>
    </row>
    <row r="9">
      <c r="A9" t="inlineStr">
        <is>
          <t>contract_years = 2</t>
        </is>
      </c>
      <c r="B9" t="n">
        <v>2</v>
      </c>
      <c r="C9" t="n">
        <v>0</v>
      </c>
      <c r="D9" t="n">
        <v>4322.652431506849</v>
      </c>
      <c r="E9" t="n">
        <v>3.297797133690072</v>
      </c>
      <c r="F9" t="n">
        <v>4.522403150276713</v>
      </c>
      <c r="G9" t="n">
        <v>38.82328767123288</v>
      </c>
    </row>
    <row r="10">
      <c r="A10" t="inlineStr">
        <is>
          <t>contract_years = 5</t>
        </is>
      </c>
      <c r="B10" t="n">
        <v>5</v>
      </c>
      <c r="C10" t="n">
        <v>0</v>
      </c>
      <c r="D10" t="n">
        <v>5633.792037671233</v>
      </c>
      <c r="E10" t="n">
        <v>2.925547272804383</v>
      </c>
      <c r="F10" t="n">
        <v>4.005161770966368</v>
      </c>
      <c r="G10" t="n">
        <v>38.82328767123288</v>
      </c>
    </row>
    <row r="11">
      <c r="A11" t="inlineStr">
        <is>
          <t>prepaid_revenue_recognised_share_per_quarter = 0.01</t>
        </is>
      </c>
      <c r="B11" t="n">
        <v>0.01</v>
      </c>
      <c r="C11" t="n">
        <v>0</v>
      </c>
      <c r="D11" t="n">
        <v>5467.792037671233</v>
      </c>
      <c r="E11" t="n">
        <v>2.939963517636054</v>
      </c>
      <c r="F11" t="n">
        <v>4.177575564069817</v>
      </c>
      <c r="G11" t="n">
        <v>38.82328767123288</v>
      </c>
    </row>
    <row r="12">
      <c r="A12" t="inlineStr">
        <is>
          <t>prepaid_revenue_recognised_share_per_quarter = 0.06</t>
        </is>
      </c>
      <c r="B12" t="n">
        <v>0.06</v>
      </c>
      <c r="C12" t="n">
        <v>0</v>
      </c>
      <c r="D12" t="n">
        <v>4982.792037671233</v>
      </c>
      <c r="E12" t="n">
        <v>3.185840628964267</v>
      </c>
      <c r="F12" t="n">
        <v>4.177575564069817</v>
      </c>
      <c r="G12" t="n">
        <v>38.82328767123288</v>
      </c>
    </row>
    <row r="13">
      <c r="A13" t="inlineStr">
        <is>
          <t>mw_added_per_quarter = 200</t>
        </is>
      </c>
      <c r="B13" t="n">
        <v>200</v>
      </c>
      <c r="C13" t="n">
        <v>0</v>
      </c>
      <c r="D13" t="n">
        <v>6035.103681506849</v>
      </c>
      <c r="E13" t="n">
        <v>2.684996678197</v>
      </c>
      <c r="F13" t="n">
        <v>4.177575564069817</v>
      </c>
      <c r="G13" t="n">
        <v>27.98630136986302</v>
      </c>
    </row>
    <row r="14">
      <c r="A14" t="inlineStr">
        <is>
          <t>mw_added_per_quarter = 600</t>
        </is>
      </c>
      <c r="B14" t="n">
        <v>600</v>
      </c>
      <c r="C14" t="n">
        <v>0</v>
      </c>
      <c r="D14" t="n">
        <v>2877.209117123288</v>
      </c>
      <c r="E14" t="n">
        <v>3.33661092951988</v>
      </c>
      <c r="F14" t="n">
        <v>4.177575564069818</v>
      </c>
      <c r="G14" t="n">
        <v>56.88493150684931</v>
      </c>
    </row>
    <row r="15">
      <c r="A15" t="inlineStr">
        <is>
          <t>mw_contracted_per_quarter = 200</t>
        </is>
      </c>
      <c r="B15" t="n">
        <v>200</v>
      </c>
      <c r="C15" t="n">
        <v>0</v>
      </c>
      <c r="D15" t="n">
        <v>4322.652431506849</v>
      </c>
      <c r="E15" t="n">
        <v>3.297797133690072</v>
      </c>
      <c r="F15" t="n">
        <v>4.177575564069817</v>
      </c>
      <c r="G15" t="n">
        <v>38.82328767123288</v>
      </c>
    </row>
    <row r="16">
      <c r="A16" t="inlineStr">
        <is>
          <t>mw_contracted_per_quarter = 800</t>
        </is>
      </c>
      <c r="B16" t="n">
        <v>800</v>
      </c>
      <c r="C16" t="n">
        <v>0</v>
      </c>
      <c r="D16" t="n">
        <v>6713.792037671232</v>
      </c>
      <c r="E16" t="n">
        <v>2.553297411918694</v>
      </c>
      <c r="F16" t="n">
        <v>4.177575564069817</v>
      </c>
      <c r="G16" t="n">
        <v>38.82328767123288</v>
      </c>
    </row>
    <row r="17">
      <c r="A17" t="inlineStr">
        <is>
          <t>revenue_per_mw_year_usd_m = 7</t>
        </is>
      </c>
      <c r="B17" t="n">
        <v>7</v>
      </c>
      <c r="C17" t="n">
        <v>0</v>
      </c>
      <c r="D17" t="n">
        <v>5105.611335616439</v>
      </c>
      <c r="E17" t="n">
        <v>4.393503603543815</v>
      </c>
      <c r="F17" t="n">
        <v>5.56821291735085</v>
      </c>
      <c r="G17" t="n">
        <v>30.19589041095891</v>
      </c>
    </row>
    <row r="18">
      <c r="A18" t="inlineStr">
        <is>
          <t>revenue_per_mw_year_usd_m = 11</t>
        </is>
      </c>
      <c r="B18" t="n">
        <v>11</v>
      </c>
      <c r="C18" t="n">
        <v>0</v>
      </c>
      <c r="D18" t="n">
        <v>5213.819434931507</v>
      </c>
      <c r="E18" t="n">
        <v>2.19443862281694</v>
      </c>
      <c r="F18" t="n">
        <v>3.292624521072798</v>
      </c>
      <c r="G18" t="n">
        <v>47.45068493150686</v>
      </c>
    </row>
    <row r="19">
      <c r="A19" t="inlineStr">
        <is>
          <t>adjusted_ebitda_margin = 0.52</t>
        </is>
      </c>
      <c r="B19" t="n">
        <v>0.52</v>
      </c>
      <c r="C19" t="n">
        <v>0</v>
      </c>
      <c r="D19" t="n">
        <v>5045.808476027398</v>
      </c>
      <c r="E19" t="n">
        <v>3.594812406547497</v>
      </c>
      <c r="F19" t="n">
        <v>4.65960351377018</v>
      </c>
      <c r="G19" t="n">
        <v>38.82328767123288</v>
      </c>
    </row>
    <row r="20">
      <c r="A20" t="inlineStr">
        <is>
          <t>adjusted_ebitda_margin = 0.65</t>
        </is>
      </c>
      <c r="B20" t="n">
        <v>0.65</v>
      </c>
      <c r="C20" t="n">
        <v>0</v>
      </c>
      <c r="D20" t="n">
        <v>5539.772859589041</v>
      </c>
      <c r="E20" t="n">
        <v>2.540794169437142</v>
      </c>
      <c r="F20" t="n">
        <v>3.727682811016144</v>
      </c>
      <c r="G20" t="n">
        <v>38.82328767123288</v>
      </c>
    </row>
    <row r="21">
      <c r="A21" t="inlineStr">
        <is>
          <t>capex_per_mw_usd_m = 15</t>
        </is>
      </c>
      <c r="B21" t="n">
        <v>15</v>
      </c>
      <c r="C21" t="n">
        <v>0</v>
      </c>
      <c r="D21" t="n">
        <v>5782.167037671233</v>
      </c>
      <c r="E21" t="n">
        <v>2.012456195739312</v>
      </c>
      <c r="F21" t="n">
        <v>4.177575564069817</v>
      </c>
      <c r="G21" t="n">
        <v>38.82328767123288</v>
      </c>
    </row>
    <row r="22">
      <c r="A22" t="inlineStr">
        <is>
          <t>capex_per_mw_usd_m = 35</t>
        </is>
      </c>
      <c r="B22" t="n">
        <v>35</v>
      </c>
      <c r="C22" t="n">
        <v>0</v>
      </c>
      <c r="D22" t="n">
        <v>3319.641883849315</v>
      </c>
      <c r="E22" t="n">
        <v>4.975811521530647</v>
      </c>
      <c r="F22" t="n">
        <v>4.177575564069817</v>
      </c>
      <c r="G22" t="n">
        <v>38.82328767123288</v>
      </c>
    </row>
    <row r="23">
      <c r="A23" t="inlineStr">
        <is>
          <t>debt_share_of_capex = 0.5</t>
        </is>
      </c>
      <c r="B23" t="n">
        <v>0.5</v>
      </c>
      <c r="C23" t="n">
        <v>4755.124633199474</v>
      </c>
      <c r="D23" t="n">
        <v>2000</v>
      </c>
      <c r="E23" t="n">
        <v>2.777090489546876</v>
      </c>
      <c r="F23" t="n">
        <v>4.177575564069817</v>
      </c>
      <c r="G23" t="n">
        <v>38.82328767123288</v>
      </c>
    </row>
    <row r="24">
      <c r="A24" t="inlineStr">
        <is>
          <t>debt_share_of_capex = 0.9</t>
        </is>
      </c>
      <c r="B24" t="n">
        <v>0.9</v>
      </c>
      <c r="C24" t="n">
        <v>0</v>
      </c>
      <c r="D24" t="n">
        <v>6036.573287671232</v>
      </c>
      <c r="E24" t="n">
        <v>3.078058096321837</v>
      </c>
      <c r="F24" t="n">
        <v>4.177575564069817</v>
      </c>
      <c r="G24" t="n">
        <v>38.82328767123288</v>
      </c>
    </row>
    <row r="25">
      <c r="A25" t="inlineStr">
        <is>
          <t>cost_of_debt = 0.065</t>
        </is>
      </c>
      <c r="B25" t="n">
        <v>0.065</v>
      </c>
      <c r="C25" t="n">
        <v>0</v>
      </c>
      <c r="D25" t="n">
        <v>5370.369537671233</v>
      </c>
      <c r="E25" t="n">
        <v>2.984307772649475</v>
      </c>
      <c r="F25" t="n">
        <v>4.177575564069817</v>
      </c>
      <c r="G25" t="n">
        <v>38.82328767123288</v>
      </c>
    </row>
    <row r="26">
      <c r="A26" t="inlineStr">
        <is>
          <t>cost_of_debt = 0.1</t>
        </is>
      </c>
      <c r="B26" t="n">
        <v>0.1</v>
      </c>
      <c r="C26" t="n">
        <v>0</v>
      </c>
      <c r="D26" t="n">
        <v>5032.348287671232</v>
      </c>
      <c r="E26" t="n">
        <v>3.21293752755829</v>
      </c>
      <c r="F26" t="n">
        <v>4.177575564069817</v>
      </c>
      <c r="G26" t="n">
        <v>38.82328767123288</v>
      </c>
    </row>
    <row r="27">
      <c r="A27" t="inlineStr">
        <is>
          <t>receivables_share_of_quarterly_revenue = 0.8</t>
        </is>
      </c>
      <c r="B27" t="n">
        <v>0.8</v>
      </c>
      <c r="C27" t="n">
        <v>0</v>
      </c>
      <c r="D27" t="n">
        <v>5518.737243150685</v>
      </c>
      <c r="E27" t="n">
        <v>2.983704433882762</v>
      </c>
      <c r="F27" t="n">
        <v>4.177575564069817</v>
      </c>
      <c r="G27" t="n">
        <v>38.82328767123288</v>
      </c>
    </row>
    <row r="28">
      <c r="A28" t="inlineStr">
        <is>
          <t>receivables_share_of_quarterly_revenue = 2</t>
        </is>
      </c>
      <c r="B28" t="n">
        <v>2</v>
      </c>
      <c r="C28" t="n">
        <v>0</v>
      </c>
      <c r="D28" t="n">
        <v>3722.353801369862</v>
      </c>
      <c r="E28" t="n">
        <v>3.379261189183868</v>
      </c>
      <c r="F28" t="n">
        <v>4.177575564069817</v>
      </c>
      <c r="G28" t="n">
        <v>38.82328767123288</v>
      </c>
    </row>
    <row r="29">
      <c r="A29" t="inlineStr">
        <is>
          <t>other_operating_cash_share_of_revenue = -0.1</t>
        </is>
      </c>
      <c r="B29" t="n">
        <v>-0.1</v>
      </c>
      <c r="C29" t="n">
        <v>0</v>
      </c>
      <c r="D29" t="n">
        <v>5007.811215753424</v>
      </c>
      <c r="E29" t="n">
        <v>3.251819377921968</v>
      </c>
      <c r="F29" t="n">
        <v>4.177575564069817</v>
      </c>
      <c r="G29" t="n">
        <v>38.82328767123288</v>
      </c>
    </row>
    <row r="30">
      <c r="A30" t="inlineStr">
        <is>
          <t>other_operating_cash_share_of_revenue = 0</t>
        </is>
      </c>
      <c r="B30" t="n">
        <v>0</v>
      </c>
      <c r="C30" t="n">
        <v>0</v>
      </c>
      <c r="D30" t="n">
        <v>5387.78381849315</v>
      </c>
      <c r="E30" t="n">
        <v>2.962978209128127</v>
      </c>
      <c r="F30" t="n">
        <v>4.177575564069817</v>
      </c>
      <c r="G30" t="n">
        <v>38.82328767123288</v>
      </c>
    </row>
    <row r="31">
      <c r="A31" t="inlineStr">
        <is>
          <t>minimum_cash_usd_bn = 1</t>
        </is>
      </c>
      <c r="B31" t="n">
        <v>1</v>
      </c>
      <c r="C31" t="n">
        <v>0</v>
      </c>
      <c r="D31" t="n">
        <v>5273.792037671233</v>
      </c>
      <c r="E31" t="n">
        <v>3.04963055976628</v>
      </c>
      <c r="F31" t="n">
        <v>4.177575564069817</v>
      </c>
      <c r="G31" t="n">
        <v>38.82328767123288</v>
      </c>
    </row>
    <row r="32">
      <c r="A32" t="inlineStr">
        <is>
          <t>minimum_cash_usd_bn = 4</t>
        </is>
      </c>
      <c r="B32" t="n">
        <v>4</v>
      </c>
      <c r="C32" t="n">
        <v>0</v>
      </c>
      <c r="D32" t="n">
        <v>5273.792037671233</v>
      </c>
      <c r="E32" t="n">
        <v>3.04963055976628</v>
      </c>
      <c r="F32" t="n">
        <v>4.177575564069817</v>
      </c>
      <c r="G32" t="n">
        <v>38.82328767123288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ai-economics</dc:creator>
  <dc:title>CoreWeave, Inc. (CRWV) operating model</dc:title>
  <dcterms:created xsi:type="dcterms:W3CDTF">2000-01-01T00:00:00Z</dcterms:created>
  <dcterms:modified xsi:type="dcterms:W3CDTF">2000-01-01T00:00:00Z</dcterms:modified>
</cp:coreProperties>
</file>